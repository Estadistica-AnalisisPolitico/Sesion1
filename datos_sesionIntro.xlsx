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1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2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3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/>
  <mc:AlternateContent xmlns:mc="http://schemas.openxmlformats.org/markup-compatibility/2006">
    <mc:Choice Requires="x15">
      <x15ac:absPath xmlns:x15ac="http://schemas.microsoft.com/office/spreadsheetml/2010/11/ac" url="/Users/JoseManuel/Documents/GITHUBs/PUCP/PreGrado/EAP2_gits/Sesion1/"/>
    </mc:Choice>
  </mc:AlternateContent>
  <xr:revisionPtr revIDLastSave="0" documentId="13_ncr:1_{C1468781-A92A-5A47-8639-A532E03207DF}" xr6:coauthVersionLast="47" xr6:coauthVersionMax="47" xr10:uidLastSave="{00000000-0000-0000-0000-000000000000}"/>
  <bookViews>
    <workbookView xWindow="-20" yWindow="500" windowWidth="28800" windowHeight="17500" xr2:uid="{00000000-000D-0000-FFFF-FFFF00000000}"/>
  </bookViews>
  <sheets>
    <sheet name="DATA" sheetId="5" r:id="rId1"/>
    <sheet name="localesPublicosEdu_2018" sheetId="1" r:id="rId2"/>
    <sheet name="contriSunat_2021" sheetId="2" r:id="rId3"/>
    <sheet name="empleoPea_2017" sheetId="3" r:id="rId4"/>
    <sheet name="pobUrbRural_2017" sheetId="4" r:id="rId5"/>
  </sheets>
  <definedNames>
    <definedName name="_xlchart.v1.0" hidden="1">DATA!$C$2:$C$26</definedName>
    <definedName name="_xlchart.v1.1" hidden="1">DATA!$D$1</definedName>
    <definedName name="_xlchart.v1.10" hidden="1">DATA!$D$1</definedName>
    <definedName name="_xlchart.v1.11" hidden="1">DATA!$D$2:$D$26</definedName>
    <definedName name="_xlchart.v1.12" hidden="1">DATA!$C$1</definedName>
    <definedName name="_xlchart.v1.13" hidden="1">DATA!$C$2:$C$26</definedName>
    <definedName name="_xlchart.v1.2" hidden="1">DATA!$D$2:$D$26</definedName>
    <definedName name="_xlchart.v1.3" hidden="1">DATA!$E$1</definedName>
    <definedName name="_xlchart.v1.4" hidden="1">DATA!$E$2:$E$26</definedName>
    <definedName name="_xlchart.v1.5" hidden="1">DATA!$D$1</definedName>
    <definedName name="_xlchart.v1.6" hidden="1">DATA!$D$2:$D$26</definedName>
    <definedName name="_xlchart.v1.7" hidden="1">DATA!$E$1</definedName>
    <definedName name="_xlchart.v1.8" hidden="1">DATA!$E$2:$E$26</definedName>
    <definedName name="_xlchart.v1.9" hidden="1">DATA!$C$2:$C$26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" i="5" l="1"/>
  <c r="I12" i="5"/>
  <c r="I10" i="5"/>
  <c r="I9" i="5"/>
  <c r="I7" i="5"/>
  <c r="I6" i="5"/>
  <c r="I5" i="5"/>
  <c r="I4" i="5"/>
  <c r="I8" i="5" s="1"/>
  <c r="I3" i="5"/>
  <c r="I2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1" i="5"/>
  <c r="E2" i="5"/>
  <c r="D1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" i="5"/>
  <c r="J7" i="5" l="1"/>
  <c r="K6" i="5"/>
  <c r="J2" i="5"/>
  <c r="K10" i="5"/>
  <c r="J10" i="5"/>
  <c r="J11" i="5" s="1"/>
  <c r="K5" i="5"/>
  <c r="J3" i="5"/>
  <c r="K3" i="5"/>
  <c r="I11" i="5"/>
  <c r="K2" i="5"/>
  <c r="J6" i="5"/>
  <c r="J8" i="5" s="1"/>
  <c r="K13" i="5"/>
  <c r="K9" i="5"/>
  <c r="J5" i="5"/>
  <c r="K4" i="5"/>
  <c r="K8" i="5" s="1"/>
  <c r="J4" i="5"/>
  <c r="J13" i="5"/>
  <c r="J9" i="5"/>
  <c r="K12" i="5"/>
  <c r="J12" i="5"/>
  <c r="K7" i="5"/>
  <c r="K11" i="5" l="1"/>
</calcChain>
</file>

<file path=xl/sharedStrings.xml><?xml version="1.0" encoding="utf-8"?>
<sst xmlns="http://schemas.openxmlformats.org/spreadsheetml/2006/main" count="106" uniqueCount="69">
  <si>
    <t>DEPARTAMENTO</t>
  </si>
  <si>
    <t>UBIGEO</t>
  </si>
  <si>
    <t>buenEstado</t>
  </si>
  <si>
    <t>AMAZONAS</t>
  </si>
  <si>
    <t>ÁNCASH</t>
  </si>
  <si>
    <t>APURÍMAC</t>
  </si>
  <si>
    <t>AREQUIPA</t>
  </si>
  <si>
    <t>AYACUCHO</t>
  </si>
  <si>
    <t>CAJAMARCA</t>
  </si>
  <si>
    <t>CALLAO</t>
  </si>
  <si>
    <t>CUSCO</t>
  </si>
  <si>
    <t>HUANCAVELICA</t>
  </si>
  <si>
    <t>HUÁNUCO</t>
  </si>
  <si>
    <t>ICA</t>
  </si>
  <si>
    <t>JUNÍN</t>
  </si>
  <si>
    <t>LA LIBERTAD</t>
  </si>
  <si>
    <t>LAMBAYEQUE</t>
  </si>
  <si>
    <t>LIMA</t>
  </si>
  <si>
    <t>LORETO</t>
  </si>
  <si>
    <t>MADRE DE DIOS</t>
  </si>
  <si>
    <t>MOQUEGUA</t>
  </si>
  <si>
    <t>PASCO</t>
  </si>
  <si>
    <t>PIURA</t>
  </si>
  <si>
    <t>PUNO</t>
  </si>
  <si>
    <t>SAN MARTÍN</t>
  </si>
  <si>
    <t>TACNA</t>
  </si>
  <si>
    <t>TUMBES</t>
  </si>
  <si>
    <t>UCAYALI</t>
  </si>
  <si>
    <t>contribuyentes</t>
  </si>
  <si>
    <t>peaOcupada</t>
  </si>
  <si>
    <t>TOTAL</t>
  </si>
  <si>
    <t>URBANO</t>
  </si>
  <si>
    <t>RURAL</t>
  </si>
  <si>
    <t>media</t>
  </si>
  <si>
    <t>mediana</t>
  </si>
  <si>
    <t>varianza</t>
  </si>
  <si>
    <t>desviacion tipica</t>
  </si>
  <si>
    <t>coeficiente de variacion</t>
  </si>
  <si>
    <t>rango</t>
  </si>
  <si>
    <t>asimetria</t>
  </si>
  <si>
    <t>curtosis</t>
  </si>
  <si>
    <t>RIC</t>
  </si>
  <si>
    <t>cuartil 1</t>
  </si>
  <si>
    <t>cuartil 2</t>
  </si>
  <si>
    <t>cuartil 3</t>
  </si>
  <si>
    <t>Standard Error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</si>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</sst>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3" fontId="1" fillId="0" borderId="0" xfId="0" applyNumberFormat="1" applyFont="1"/>
    <xf numFmtId="1" fontId="1" fillId="0" borderId="0" xfId="0" applyNumberFormat="1" applyFont="1"/>
    <xf numFmtId="0" fontId="2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3" fillId="0" borderId="2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DATA!$D$1</c:f>
              <c:strCache>
                <c:ptCount val="1"/>
                <c:pt idx="0">
                  <c:v>contribuyentes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DATA!$C$2:$C$26</c:f>
              <c:numCache>
                <c:formatCode>General</c:formatCode>
                <c:ptCount val="25"/>
                <c:pt idx="0">
                  <c:v>18.600000000000001</c:v>
                </c:pt>
                <c:pt idx="1">
                  <c:v>13.9</c:v>
                </c:pt>
                <c:pt idx="2">
                  <c:v>8.6999999999999993</c:v>
                </c:pt>
                <c:pt idx="3">
                  <c:v>27.4</c:v>
                </c:pt>
                <c:pt idx="4">
                  <c:v>17</c:v>
                </c:pt>
                <c:pt idx="5">
                  <c:v>18</c:v>
                </c:pt>
                <c:pt idx="6">
                  <c:v>33.799999999999997</c:v>
                </c:pt>
                <c:pt idx="7">
                  <c:v>11.9</c:v>
                </c:pt>
                <c:pt idx="8">
                  <c:v>10.1</c:v>
                </c:pt>
                <c:pt idx="9">
                  <c:v>15.6</c:v>
                </c:pt>
                <c:pt idx="10">
                  <c:v>28.3</c:v>
                </c:pt>
                <c:pt idx="11">
                  <c:v>11.6</c:v>
                </c:pt>
                <c:pt idx="12">
                  <c:v>21.8</c:v>
                </c:pt>
                <c:pt idx="13">
                  <c:v>19.399999999999999</c:v>
                </c:pt>
                <c:pt idx="14">
                  <c:v>31.4</c:v>
                </c:pt>
                <c:pt idx="15">
                  <c:v>15.1</c:v>
                </c:pt>
                <c:pt idx="16">
                  <c:v>17.3</c:v>
                </c:pt>
                <c:pt idx="17">
                  <c:v>19</c:v>
                </c:pt>
                <c:pt idx="18">
                  <c:v>7.8</c:v>
                </c:pt>
                <c:pt idx="19">
                  <c:v>22</c:v>
                </c:pt>
                <c:pt idx="20">
                  <c:v>7.7</c:v>
                </c:pt>
                <c:pt idx="21">
                  <c:v>16.2</c:v>
                </c:pt>
                <c:pt idx="22">
                  <c:v>40.5</c:v>
                </c:pt>
                <c:pt idx="23">
                  <c:v>17.3</c:v>
                </c:pt>
                <c:pt idx="24">
                  <c:v>14.9</c:v>
                </c:pt>
              </c:numCache>
            </c:numRef>
          </c:xVal>
          <c:yVal>
            <c:numRef>
              <c:f>DATA!$D$2:$D$26</c:f>
              <c:numCache>
                <c:formatCode>General</c:formatCode>
                <c:ptCount val="25"/>
                <c:pt idx="0">
                  <c:v>75035</c:v>
                </c:pt>
                <c:pt idx="1">
                  <c:v>302906</c:v>
                </c:pt>
                <c:pt idx="2">
                  <c:v>103981</c:v>
                </c:pt>
                <c:pt idx="3">
                  <c:v>585628</c:v>
                </c:pt>
                <c:pt idx="4">
                  <c:v>151191</c:v>
                </c:pt>
                <c:pt idx="5">
                  <c:v>277457</c:v>
                </c:pt>
                <c:pt idx="6">
                  <c:v>499257</c:v>
                </c:pt>
                <c:pt idx="7">
                  <c:v>466883</c:v>
                </c:pt>
                <c:pt idx="8">
                  <c:v>80353</c:v>
                </c:pt>
                <c:pt idx="9">
                  <c:v>185658</c:v>
                </c:pt>
                <c:pt idx="10">
                  <c:v>276632</c:v>
                </c:pt>
                <c:pt idx="11">
                  <c:v>377618</c:v>
                </c:pt>
                <c:pt idx="12">
                  <c:v>489909</c:v>
                </c:pt>
                <c:pt idx="13">
                  <c:v>345668</c:v>
                </c:pt>
                <c:pt idx="14">
                  <c:v>4887993</c:v>
                </c:pt>
                <c:pt idx="15">
                  <c:v>218179</c:v>
                </c:pt>
                <c:pt idx="16">
                  <c:v>57440</c:v>
                </c:pt>
                <c:pt idx="17">
                  <c:v>93002</c:v>
                </c:pt>
                <c:pt idx="18">
                  <c:v>72646</c:v>
                </c:pt>
                <c:pt idx="19">
                  <c:v>480596</c:v>
                </c:pt>
                <c:pt idx="20">
                  <c:v>307698</c:v>
                </c:pt>
                <c:pt idx="21">
                  <c:v>198605</c:v>
                </c:pt>
                <c:pt idx="22">
                  <c:v>163436</c:v>
                </c:pt>
                <c:pt idx="23">
                  <c:v>85685</c:v>
                </c:pt>
                <c:pt idx="24">
                  <c:v>161228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103-9744-B178-850AE133E9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498735"/>
        <c:axId val="537241567"/>
      </c:scatterChart>
      <c:valAx>
        <c:axId val="52649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Buen Estado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241567"/>
        <c:crosses val="autoZero"/>
        <c:crossBetween val="midCat"/>
      </c:valAx>
      <c:valAx>
        <c:axId val="537241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Contribuyentes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49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peaOcupada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DATA!$D$2:$D$26</c:f>
              <c:numCache>
                <c:formatCode>General</c:formatCode>
                <c:ptCount val="25"/>
                <c:pt idx="0">
                  <c:v>75035</c:v>
                </c:pt>
                <c:pt idx="1">
                  <c:v>302906</c:v>
                </c:pt>
                <c:pt idx="2">
                  <c:v>103981</c:v>
                </c:pt>
                <c:pt idx="3">
                  <c:v>585628</c:v>
                </c:pt>
                <c:pt idx="4">
                  <c:v>151191</c:v>
                </c:pt>
                <c:pt idx="5">
                  <c:v>277457</c:v>
                </c:pt>
                <c:pt idx="6">
                  <c:v>499257</c:v>
                </c:pt>
                <c:pt idx="7">
                  <c:v>466883</c:v>
                </c:pt>
                <c:pt idx="8">
                  <c:v>80353</c:v>
                </c:pt>
                <c:pt idx="9">
                  <c:v>185658</c:v>
                </c:pt>
                <c:pt idx="10">
                  <c:v>276632</c:v>
                </c:pt>
                <c:pt idx="11">
                  <c:v>377618</c:v>
                </c:pt>
                <c:pt idx="12">
                  <c:v>489909</c:v>
                </c:pt>
                <c:pt idx="13">
                  <c:v>345668</c:v>
                </c:pt>
                <c:pt idx="14">
                  <c:v>4887993</c:v>
                </c:pt>
                <c:pt idx="15">
                  <c:v>218179</c:v>
                </c:pt>
                <c:pt idx="16">
                  <c:v>57440</c:v>
                </c:pt>
                <c:pt idx="17">
                  <c:v>93002</c:v>
                </c:pt>
                <c:pt idx="18">
                  <c:v>72646</c:v>
                </c:pt>
                <c:pt idx="19">
                  <c:v>480596</c:v>
                </c:pt>
                <c:pt idx="20">
                  <c:v>307698</c:v>
                </c:pt>
                <c:pt idx="21">
                  <c:v>198605</c:v>
                </c:pt>
                <c:pt idx="22">
                  <c:v>163436</c:v>
                </c:pt>
                <c:pt idx="23">
                  <c:v>85685</c:v>
                </c:pt>
                <c:pt idx="24">
                  <c:v>161228</c:v>
                </c:pt>
              </c:numCache>
            </c:numRef>
          </c:xVal>
          <c:yVal>
            <c:numRef>
              <c:f>DATA!$E$2:$E$26</c:f>
              <c:numCache>
                <c:formatCode>General</c:formatCode>
                <c:ptCount val="25"/>
                <c:pt idx="0">
                  <c:v>130019</c:v>
                </c:pt>
                <c:pt idx="1">
                  <c:v>387976</c:v>
                </c:pt>
                <c:pt idx="2">
                  <c:v>140341</c:v>
                </c:pt>
                <c:pt idx="3">
                  <c:v>645001</c:v>
                </c:pt>
                <c:pt idx="4">
                  <c:v>235857</c:v>
                </c:pt>
                <c:pt idx="5">
                  <c:v>461312</c:v>
                </c:pt>
                <c:pt idx="6">
                  <c:v>445072</c:v>
                </c:pt>
                <c:pt idx="7">
                  <c:v>496399</c:v>
                </c:pt>
                <c:pt idx="8">
                  <c:v>111996</c:v>
                </c:pt>
                <c:pt idx="9">
                  <c:v>253200</c:v>
                </c:pt>
                <c:pt idx="10">
                  <c:v>369753</c:v>
                </c:pt>
                <c:pt idx="11">
                  <c:v>512532</c:v>
                </c:pt>
                <c:pt idx="12">
                  <c:v>691563</c:v>
                </c:pt>
                <c:pt idx="13">
                  <c:v>459254</c:v>
                </c:pt>
                <c:pt idx="14">
                  <c:v>4536507</c:v>
                </c:pt>
                <c:pt idx="15">
                  <c:v>300663</c:v>
                </c:pt>
                <c:pt idx="16">
                  <c:v>64206</c:v>
                </c:pt>
                <c:pt idx="17">
                  <c:v>82399</c:v>
                </c:pt>
                <c:pt idx="18">
                  <c:v>97392</c:v>
                </c:pt>
                <c:pt idx="19">
                  <c:v>665465</c:v>
                </c:pt>
                <c:pt idx="20">
                  <c:v>454941</c:v>
                </c:pt>
                <c:pt idx="21">
                  <c:v>321613</c:v>
                </c:pt>
                <c:pt idx="22">
                  <c:v>161903</c:v>
                </c:pt>
                <c:pt idx="23">
                  <c:v>90571</c:v>
                </c:pt>
                <c:pt idx="24">
                  <c:v>189783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A5-4D47-BAC6-656A1B1D90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698655"/>
        <c:axId val="537303711"/>
      </c:scatterChart>
      <c:valAx>
        <c:axId val="809698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contribuyentes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303711"/>
        <c:crosses val="autoZero"/>
        <c:crossBetween val="midCat"/>
      </c:valAx>
      <c:valAx>
        <c:axId val="53730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 ocupada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9698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peaOcupada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DATA!$C$2:$C$26</c:f>
              <c:numCache>
                <c:formatCode>General</c:formatCode>
                <c:ptCount val="25"/>
                <c:pt idx="0">
                  <c:v>18.600000000000001</c:v>
                </c:pt>
                <c:pt idx="1">
                  <c:v>13.9</c:v>
                </c:pt>
                <c:pt idx="2">
                  <c:v>8.6999999999999993</c:v>
                </c:pt>
                <c:pt idx="3">
                  <c:v>27.4</c:v>
                </c:pt>
                <c:pt idx="4">
                  <c:v>17</c:v>
                </c:pt>
                <c:pt idx="5">
                  <c:v>18</c:v>
                </c:pt>
                <c:pt idx="6">
                  <c:v>33.799999999999997</c:v>
                </c:pt>
                <c:pt idx="7">
                  <c:v>11.9</c:v>
                </c:pt>
                <c:pt idx="8">
                  <c:v>10.1</c:v>
                </c:pt>
                <c:pt idx="9">
                  <c:v>15.6</c:v>
                </c:pt>
                <c:pt idx="10">
                  <c:v>28.3</c:v>
                </c:pt>
                <c:pt idx="11">
                  <c:v>11.6</c:v>
                </c:pt>
                <c:pt idx="12">
                  <c:v>21.8</c:v>
                </c:pt>
                <c:pt idx="13">
                  <c:v>19.399999999999999</c:v>
                </c:pt>
                <c:pt idx="14">
                  <c:v>31.4</c:v>
                </c:pt>
                <c:pt idx="15">
                  <c:v>15.1</c:v>
                </c:pt>
                <c:pt idx="16">
                  <c:v>17.3</c:v>
                </c:pt>
                <c:pt idx="17">
                  <c:v>19</c:v>
                </c:pt>
                <c:pt idx="18">
                  <c:v>7.8</c:v>
                </c:pt>
                <c:pt idx="19">
                  <c:v>22</c:v>
                </c:pt>
                <c:pt idx="20">
                  <c:v>7.7</c:v>
                </c:pt>
                <c:pt idx="21">
                  <c:v>16.2</c:v>
                </c:pt>
                <c:pt idx="22">
                  <c:v>40.5</c:v>
                </c:pt>
                <c:pt idx="23">
                  <c:v>17.3</c:v>
                </c:pt>
                <c:pt idx="24">
                  <c:v>14.9</c:v>
                </c:pt>
              </c:numCache>
            </c:numRef>
          </c:xVal>
          <c:yVal>
            <c:numRef>
              <c:f>DATA!$E$2:$E$26</c:f>
              <c:numCache>
                <c:formatCode>General</c:formatCode>
                <c:ptCount val="25"/>
                <c:pt idx="0">
                  <c:v>130019</c:v>
                </c:pt>
                <c:pt idx="1">
                  <c:v>387976</c:v>
                </c:pt>
                <c:pt idx="2">
                  <c:v>140341</c:v>
                </c:pt>
                <c:pt idx="3">
                  <c:v>645001</c:v>
                </c:pt>
                <c:pt idx="4">
                  <c:v>235857</c:v>
                </c:pt>
                <c:pt idx="5">
                  <c:v>461312</c:v>
                </c:pt>
                <c:pt idx="6">
                  <c:v>445072</c:v>
                </c:pt>
                <c:pt idx="7">
                  <c:v>496399</c:v>
                </c:pt>
                <c:pt idx="8">
                  <c:v>111996</c:v>
                </c:pt>
                <c:pt idx="9">
                  <c:v>253200</c:v>
                </c:pt>
                <c:pt idx="10">
                  <c:v>369753</c:v>
                </c:pt>
                <c:pt idx="11">
                  <c:v>512532</c:v>
                </c:pt>
                <c:pt idx="12">
                  <c:v>691563</c:v>
                </c:pt>
                <c:pt idx="13">
                  <c:v>459254</c:v>
                </c:pt>
                <c:pt idx="14">
                  <c:v>4536507</c:v>
                </c:pt>
                <c:pt idx="15">
                  <c:v>300663</c:v>
                </c:pt>
                <c:pt idx="16">
                  <c:v>64206</c:v>
                </c:pt>
                <c:pt idx="17">
                  <c:v>82399</c:v>
                </c:pt>
                <c:pt idx="18">
                  <c:v>97392</c:v>
                </c:pt>
                <c:pt idx="19">
                  <c:v>665465</c:v>
                </c:pt>
                <c:pt idx="20">
                  <c:v>454941</c:v>
                </c:pt>
                <c:pt idx="21">
                  <c:v>321613</c:v>
                </c:pt>
                <c:pt idx="22">
                  <c:v>161903</c:v>
                </c:pt>
                <c:pt idx="23">
                  <c:v>90571</c:v>
                </c:pt>
                <c:pt idx="24">
                  <c:v>189783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64-8A43-98BE-A608E6D52C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72607199"/>
        <c:axId val="701437807"/>
      </c:scatterChart>
      <c:valAx>
        <c:axId val="7726071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buen estado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437807"/>
        <c:crosses val="autoZero"/>
        <c:crossBetween val="midCat"/>
      </c:valAx>
      <c:valAx>
        <c:axId val="701437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peaOcupada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26071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</cx:chartData>
  <cx:chart>
    <cx:title pos="t" align="ctr" overlay="0">
      <cx:tx>
        <cx:txData>
          <cx:v>Buen Estado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Buen Estado</a:t>
          </a:r>
        </a:p>
      </cx:txPr>
    </cx:title>
    <cx:plotArea>
      <cx:plotAreaRegion>
        <cx:series layoutId="clusteredColumn" uniqueId="{013BB660-78F6-744F-A793-0C1573E9CE5A}">
          <cx:tx>
            <cx:txData>
              <cx:f>_xlchart.v1.12</cx:f>
              <cx:v>buenEstado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_xlchart.v1.6</cx:f>
      </cx:numDim>
    </cx:data>
  </cx:chartData>
  <cx:chart>
    <cx:title pos="t" align="ctr" overlay="0">
      <cx:tx>
        <cx:txData>
          <cx:v>Contribuyentes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Contribuyentes</a:t>
          </a:r>
        </a:p>
      </cx:txPr>
    </cx:title>
    <cx:plotArea>
      <cx:plotAreaRegion>
        <cx:series layoutId="clusteredColumn" uniqueId="{13AA0381-4E15-9542-B749-881C7F08DAF1}">
          <cx:tx>
            <cx:txData>
              <cx:f>_xlchart.v1.5</cx:f>
              <cx:v>contribuyentes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_xlchart.v1.8</cx:f>
      </cx:numDim>
    </cx:data>
  </cx:chartData>
  <cx:chart>
    <cx:title pos="t" align="ctr" overlay="0">
      <cx:tx>
        <cx:txData>
          <cx:v>Pea ocupada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Pea ocupada</a:t>
          </a:r>
        </a:p>
      </cx:txPr>
    </cx:title>
    <cx:plotArea>
      <cx:plotAreaRegion>
        <cx:series layoutId="clusteredColumn" uniqueId="{DC657239-463F-7B4F-8FB0-4143D37439F5}">
          <cx:tx>
            <cx:txData>
              <cx:f>_xlchart.v1.7</cx:f>
              <cx:v>peaOcupada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323850</xdr:colOff>
      <xdr:row>0</xdr:row>
      <xdr:rowOff>76200</xdr:rowOff>
    </xdr:from>
    <xdr:to>
      <xdr:col>15</xdr:col>
      <xdr:colOff>127000</xdr:colOff>
      <xdr:row>13</xdr:row>
      <xdr:rowOff>101600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5DF49E11-7CF0-EFB2-6DC9-A54B46AC8E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18750" y="76200"/>
              <a:ext cx="3105150" cy="2209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393700</xdr:colOff>
      <xdr:row>14</xdr:row>
      <xdr:rowOff>88900</xdr:rowOff>
    </xdr:from>
    <xdr:to>
      <xdr:col>15</xdr:col>
      <xdr:colOff>114300</xdr:colOff>
      <xdr:row>25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C9477165-C548-36AE-C62F-7B544EB54D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88600" y="2438400"/>
              <a:ext cx="3022600" cy="1917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11</xdr:col>
      <xdr:colOff>336550</xdr:colOff>
      <xdr:row>27</xdr:row>
      <xdr:rowOff>63500</xdr:rowOff>
    </xdr:from>
    <xdr:to>
      <xdr:col>15</xdr:col>
      <xdr:colOff>393700</xdr:colOff>
      <xdr:row>44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6199BA9F-8A6E-F327-9D24-8FB230BED5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31450" y="4597400"/>
              <a:ext cx="33591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17</xdr:col>
      <xdr:colOff>273050</xdr:colOff>
      <xdr:row>21</xdr:row>
      <xdr:rowOff>127000</xdr:rowOff>
    </xdr:from>
    <xdr:to>
      <xdr:col>21</xdr:col>
      <xdr:colOff>342900</xdr:colOff>
      <xdr:row>35</xdr:row>
      <xdr:rowOff>127000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612013D-3E72-0288-FCAB-470BA40629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508000</xdr:colOff>
      <xdr:row>22</xdr:row>
      <xdr:rowOff>0</xdr:rowOff>
    </xdr:from>
    <xdr:to>
      <xdr:col>25</xdr:col>
      <xdr:colOff>88900</xdr:colOff>
      <xdr:row>33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8E2D01-E436-BD22-AEAA-DFEA2C325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635000</xdr:colOff>
      <xdr:row>21</xdr:row>
      <xdr:rowOff>114300</xdr:rowOff>
    </xdr:from>
    <xdr:to>
      <xdr:col>29</xdr:col>
      <xdr:colOff>622300</xdr:colOff>
      <xdr:row>34</xdr:row>
      <xdr:rowOff>101600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A1A9473-179A-9A80-77B9-E71F9430111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9F0A-E7DF-EA42-B220-157B85B4BB4E}">
  <dimension ref="A1:AA26"/>
  <sheetViews>
    <sheetView tabSelected="1" topLeftCell="Q2" workbookViewId="0">
      <selection activeCell="AG26" sqref="AG26"/>
    </sheetView>
  </sheetViews>
  <sheetFormatPr baseColWidth="10" defaultRowHeight="13" x14ac:dyDescent="0.15"/>
  <cols>
    <col min="1" max="1" width="15.1640625" bestFit="1" customWidth="1"/>
    <col min="2" max="2" width="7.83203125" bestFit="1" customWidth="1"/>
    <col min="3" max="3" width="10.6640625" bestFit="1" customWidth="1"/>
    <col min="4" max="4" width="12.5" bestFit="1" customWidth="1"/>
    <col min="5" max="5" width="11.33203125" bestFit="1" customWidth="1"/>
    <col min="8" max="8" width="19.5" bestFit="1" customWidth="1"/>
  </cols>
  <sheetData>
    <row r="1" spans="1:24" x14ac:dyDescent="0.15">
      <c r="A1" s="1" t="s">
        <v>0</v>
      </c>
      <c r="B1" s="1" t="s">
        <v>1</v>
      </c>
      <c r="C1" s="1" t="s">
        <v>2</v>
      </c>
      <c r="D1" t="str">
        <f>VLOOKUP(B1,contriSunat_2021!$A$1:$B$26,2,0)</f>
        <v>contribuyentes</v>
      </c>
      <c r="E1" s="1" t="str">
        <f>VLOOKUP(B1,empleoPea_2017!$A$1:$B$26,2,0)</f>
        <v>peaOcupada</v>
      </c>
      <c r="F1" s="1"/>
      <c r="G1" s="1"/>
      <c r="I1" s="1" t="s">
        <v>2</v>
      </c>
      <c r="J1" t="s">
        <v>28</v>
      </c>
      <c r="K1" s="1" t="s">
        <v>29</v>
      </c>
    </row>
    <row r="2" spans="1:24" x14ac:dyDescent="0.15">
      <c r="A2" s="1" t="s">
        <v>3</v>
      </c>
      <c r="B2" s="1">
        <v>10000</v>
      </c>
      <c r="C2" s="1">
        <v>18.600000000000001</v>
      </c>
      <c r="D2">
        <f>VLOOKUP(B2,contriSunat_2021!$A$1:$B$26,2,0)</f>
        <v>75035</v>
      </c>
      <c r="E2" s="1">
        <f>VLOOKUP(B2,empleoPea_2017!$A$1:$B$26,2,0)</f>
        <v>130019</v>
      </c>
      <c r="F2" s="1"/>
      <c r="G2" s="1"/>
      <c r="H2" s="4" t="s">
        <v>33</v>
      </c>
      <c r="I2" s="1">
        <f>AVERAGE(C2:C26)</f>
        <v>18.611999999999998</v>
      </c>
      <c r="J2" s="1">
        <f t="shared" ref="J2:K2" si="0">AVERAGE(D2:D26)</f>
        <v>437787.36</v>
      </c>
      <c r="K2" s="1">
        <f t="shared" si="0"/>
        <v>492228.72</v>
      </c>
      <c r="S2" t="s">
        <v>46</v>
      </c>
    </row>
    <row r="3" spans="1:24" ht="14" thickBot="1" x14ac:dyDescent="0.2">
      <c r="A3" s="1" t="s">
        <v>4</v>
      </c>
      <c r="B3" s="1">
        <v>20000</v>
      </c>
      <c r="C3" s="1">
        <v>13.9</v>
      </c>
      <c r="D3">
        <f>VLOOKUP(B3,contriSunat_2021!$A$1:$B$26,2,0)</f>
        <v>302906</v>
      </c>
      <c r="E3" s="1">
        <f>VLOOKUP(B3,empleoPea_2017!$A$1:$B$26,2,0)</f>
        <v>387976</v>
      </c>
      <c r="F3" s="1"/>
      <c r="G3" s="1"/>
      <c r="H3" s="4" t="s">
        <v>34</v>
      </c>
      <c r="I3" s="1">
        <f>MEDIAN(C2:C26)</f>
        <v>17.3</v>
      </c>
      <c r="J3" s="1">
        <f t="shared" ref="J3:K3" si="1">MEDIAN(D2:D26)</f>
        <v>218179</v>
      </c>
      <c r="K3" s="1">
        <f t="shared" si="1"/>
        <v>321613</v>
      </c>
    </row>
    <row r="4" spans="1:24" x14ac:dyDescent="0.15">
      <c r="A4" s="1" t="s">
        <v>5</v>
      </c>
      <c r="B4" s="1">
        <v>30000</v>
      </c>
      <c r="C4" s="1">
        <v>8.6999999999999993</v>
      </c>
      <c r="D4">
        <f>VLOOKUP(B4,contriSunat_2021!$A$1:$B$26,2,0)</f>
        <v>103981</v>
      </c>
      <c r="E4" s="1">
        <f>VLOOKUP(B4,empleoPea_2017!$A$1:$B$26,2,0)</f>
        <v>140341</v>
      </c>
      <c r="F4" s="1"/>
      <c r="G4" s="1"/>
      <c r="H4" s="4" t="s">
        <v>42</v>
      </c>
      <c r="I4" s="1">
        <f>QUARTILE(C2:C26,1)</f>
        <v>13.9</v>
      </c>
      <c r="J4" s="1">
        <f t="shared" ref="J4:K4" si="2">QUARTILE(D2:D26,1)</f>
        <v>103981</v>
      </c>
      <c r="K4" s="1">
        <f t="shared" si="2"/>
        <v>140341</v>
      </c>
      <c r="S4" s="8" t="s">
        <v>47</v>
      </c>
      <c r="T4" s="8"/>
    </row>
    <row r="5" spans="1:24" x14ac:dyDescent="0.15">
      <c r="A5" s="1" t="s">
        <v>6</v>
      </c>
      <c r="B5" s="1">
        <v>40000</v>
      </c>
      <c r="C5" s="1">
        <v>27.4</v>
      </c>
      <c r="D5">
        <f>VLOOKUP(B5,contriSunat_2021!$A$1:$B$26,2,0)</f>
        <v>585628</v>
      </c>
      <c r="E5" s="1">
        <f>VLOOKUP(B5,empleoPea_2017!$A$1:$B$26,2,0)</f>
        <v>645001</v>
      </c>
      <c r="F5" s="1"/>
      <c r="G5" s="1"/>
      <c r="H5" s="4" t="s">
        <v>43</v>
      </c>
      <c r="I5" s="1">
        <f>QUARTILE(C2:C26,2)</f>
        <v>17.3</v>
      </c>
      <c r="J5" s="1">
        <f t="shared" ref="J5:K5" si="3">QUARTILE(D2:D26,2)</f>
        <v>218179</v>
      </c>
      <c r="K5" s="1">
        <f t="shared" si="3"/>
        <v>321613</v>
      </c>
      <c r="S5" s="5" t="s">
        <v>48</v>
      </c>
      <c r="T5" s="5">
        <v>0.99658676584364658</v>
      </c>
    </row>
    <row r="6" spans="1:24" x14ac:dyDescent="0.15">
      <c r="A6" s="1" t="s">
        <v>7</v>
      </c>
      <c r="B6" s="1">
        <v>50000</v>
      </c>
      <c r="C6" s="1">
        <v>17</v>
      </c>
      <c r="D6">
        <f>VLOOKUP(B6,contriSunat_2021!$A$1:$B$26,2,0)</f>
        <v>151191</v>
      </c>
      <c r="E6" s="1">
        <f>VLOOKUP(B6,empleoPea_2017!$A$1:$B$26,2,0)</f>
        <v>235857</v>
      </c>
      <c r="F6" s="1"/>
      <c r="G6" s="1"/>
      <c r="H6" s="4" t="s">
        <v>44</v>
      </c>
      <c r="I6" s="1">
        <f>QUARTILE(C2:C26,3)</f>
        <v>21.8</v>
      </c>
      <c r="J6" s="1">
        <f t="shared" ref="J6:K6" si="4">QUARTILE(D2:D26,3)</f>
        <v>377618</v>
      </c>
      <c r="K6" s="1">
        <f t="shared" si="4"/>
        <v>461312</v>
      </c>
      <c r="S6" s="5" t="s">
        <v>49</v>
      </c>
      <c r="T6" s="5">
        <v>0.99318518185469928</v>
      </c>
    </row>
    <row r="7" spans="1:24" x14ac:dyDescent="0.15">
      <c r="A7" s="1" t="s">
        <v>8</v>
      </c>
      <c r="B7" s="1">
        <v>60000</v>
      </c>
      <c r="C7" s="1">
        <v>18</v>
      </c>
      <c r="D7">
        <f>VLOOKUP(B7,contriSunat_2021!$A$1:$B$26,2,0)</f>
        <v>277457</v>
      </c>
      <c r="E7" s="1">
        <f>VLOOKUP(B7,empleoPea_2017!$A$1:$B$26,2,0)</f>
        <v>461312</v>
      </c>
      <c r="F7" s="1"/>
      <c r="G7" s="1"/>
      <c r="H7" s="4" t="s">
        <v>38</v>
      </c>
      <c r="I7" s="1">
        <f>MAX(C2:C26)-MIN(C2:C26)</f>
        <v>32.799999999999997</v>
      </c>
      <c r="J7" s="1">
        <f t="shared" ref="J7:K7" si="5">MAX(D2:D26)-MIN(D2:D26)</f>
        <v>4830553</v>
      </c>
      <c r="K7" s="1">
        <f t="shared" si="5"/>
        <v>4472301</v>
      </c>
      <c r="S7" s="5" t="s">
        <v>50</v>
      </c>
      <c r="T7" s="5">
        <v>0.99256565293239918</v>
      </c>
    </row>
    <row r="8" spans="1:24" x14ac:dyDescent="0.15">
      <c r="A8" s="1" t="s">
        <v>9</v>
      </c>
      <c r="B8" s="1">
        <v>70000</v>
      </c>
      <c r="C8" s="1">
        <v>33.799999999999997</v>
      </c>
      <c r="D8">
        <f>VLOOKUP(B8,contriSunat_2021!$A$1:$B$26,2,0)</f>
        <v>499257</v>
      </c>
      <c r="E8" s="1">
        <f>VLOOKUP(B8,empleoPea_2017!$A$1:$B$26,2,0)</f>
        <v>445072</v>
      </c>
      <c r="F8" s="1"/>
      <c r="G8" s="1"/>
      <c r="H8" s="4" t="s">
        <v>41</v>
      </c>
      <c r="I8" s="1">
        <f>I6-I4</f>
        <v>7.9</v>
      </c>
      <c r="J8" s="1">
        <f t="shared" ref="J8:K8" si="6">J6-J4</f>
        <v>273637</v>
      </c>
      <c r="K8" s="1">
        <f t="shared" si="6"/>
        <v>320971</v>
      </c>
      <c r="S8" s="5" t="s">
        <v>45</v>
      </c>
      <c r="T8" s="5">
        <v>74543.2801641767</v>
      </c>
    </row>
    <row r="9" spans="1:24" ht="14" thickBot="1" x14ac:dyDescent="0.2">
      <c r="A9" s="1" t="s">
        <v>10</v>
      </c>
      <c r="B9" s="1">
        <v>80000</v>
      </c>
      <c r="C9" s="1">
        <v>11.9</v>
      </c>
      <c r="D9">
        <f>VLOOKUP(B9,contriSunat_2021!$A$1:$B$26,2,0)</f>
        <v>466883</v>
      </c>
      <c r="E9" s="1">
        <f>VLOOKUP(B9,empleoPea_2017!$A$1:$B$26,2,0)</f>
        <v>496399</v>
      </c>
      <c r="F9" s="1"/>
      <c r="G9" s="1"/>
      <c r="H9" s="4" t="s">
        <v>35</v>
      </c>
      <c r="I9" s="1">
        <f>VARP(C2:C26)</f>
        <v>65.492256000000012</v>
      </c>
      <c r="J9" s="1">
        <f t="shared" ref="J9:K9" si="7">VARP(D2:D26)</f>
        <v>849151117266.63037</v>
      </c>
      <c r="K9" s="1">
        <f t="shared" si="7"/>
        <v>717538816041.72156</v>
      </c>
      <c r="S9" s="6" t="s">
        <v>51</v>
      </c>
      <c r="T9" s="6">
        <v>25</v>
      </c>
    </row>
    <row r="10" spans="1:24" x14ac:dyDescent="0.15">
      <c r="A10" s="1" t="s">
        <v>11</v>
      </c>
      <c r="B10" s="1">
        <v>90000</v>
      </c>
      <c r="C10" s="1">
        <v>10.1</v>
      </c>
      <c r="D10">
        <f>VLOOKUP(B10,contriSunat_2021!$A$1:$B$26,2,0)</f>
        <v>80353</v>
      </c>
      <c r="E10" s="1">
        <f>VLOOKUP(B10,empleoPea_2017!$A$1:$B$26,2,0)</f>
        <v>111996</v>
      </c>
      <c r="F10" s="1"/>
      <c r="G10" s="1"/>
      <c r="H10" s="4" t="s">
        <v>36</v>
      </c>
      <c r="I10" s="1">
        <f>_xlfn.STDEV.P(C2:C26)</f>
        <v>8.0927285880597779</v>
      </c>
      <c r="J10" s="1">
        <f t="shared" ref="J10:K10" si="8">_xlfn.STDEV.P(D2:D26)</f>
        <v>921493.95943035372</v>
      </c>
      <c r="K10" s="1">
        <f t="shared" si="8"/>
        <v>847076.62937996443</v>
      </c>
    </row>
    <row r="11" spans="1:24" ht="14" thickBot="1" x14ac:dyDescent="0.2">
      <c r="A11" s="1" t="s">
        <v>12</v>
      </c>
      <c r="B11" s="1">
        <v>100000</v>
      </c>
      <c r="C11" s="1">
        <v>15.6</v>
      </c>
      <c r="D11">
        <f>VLOOKUP(B11,contriSunat_2021!$A$1:$B$26,2,0)</f>
        <v>185658</v>
      </c>
      <c r="E11" s="1">
        <f>VLOOKUP(B11,empleoPea_2017!$A$1:$B$26,2,0)</f>
        <v>253200</v>
      </c>
      <c r="F11" s="1"/>
      <c r="G11" s="1"/>
      <c r="H11" s="4" t="s">
        <v>37</v>
      </c>
      <c r="I11" s="1">
        <f>I10/I2</f>
        <v>0.43481241070598425</v>
      </c>
      <c r="J11" s="1">
        <f t="shared" ref="J11:K11" si="9">J10/J2</f>
        <v>2.1048893678208382</v>
      </c>
      <c r="K11" s="1">
        <f t="shared" si="9"/>
        <v>1.7209004573726712</v>
      </c>
      <c r="S11" t="s">
        <v>52</v>
      </c>
    </row>
    <row r="12" spans="1:24" x14ac:dyDescent="0.15">
      <c r="A12" s="1" t="s">
        <v>13</v>
      </c>
      <c r="B12" s="1">
        <v>110000</v>
      </c>
      <c r="C12" s="1">
        <v>28.3</v>
      </c>
      <c r="D12">
        <f>VLOOKUP(B12,contriSunat_2021!$A$1:$B$26,2,0)</f>
        <v>276632</v>
      </c>
      <c r="E12" s="1">
        <f>VLOOKUP(B12,empleoPea_2017!$A$1:$B$26,2,0)</f>
        <v>369753</v>
      </c>
      <c r="F12" s="1"/>
      <c r="G12" s="1"/>
      <c r="H12" s="4" t="s">
        <v>39</v>
      </c>
      <c r="I12" s="1">
        <f>_xlfn.SKEW.P(C2:C26)</f>
        <v>0.95775058789970668</v>
      </c>
      <c r="J12" s="1">
        <f t="shared" ref="J12:K12" si="10">_xlfn.SKEW.P(D2:D26)</f>
        <v>4.4830614713744481</v>
      </c>
      <c r="K12" s="1">
        <f t="shared" si="10"/>
        <v>4.3195440201696318</v>
      </c>
      <c r="S12" s="7"/>
      <c r="T12" s="7" t="s">
        <v>57</v>
      </c>
      <c r="U12" s="7" t="s">
        <v>58</v>
      </c>
      <c r="V12" s="7" t="s">
        <v>59</v>
      </c>
      <c r="W12" s="7" t="s">
        <v>60</v>
      </c>
      <c r="X12" s="7" t="s">
        <v>61</v>
      </c>
    </row>
    <row r="13" spans="1:24" x14ac:dyDescent="0.15">
      <c r="A13" s="1" t="s">
        <v>14</v>
      </c>
      <c r="B13" s="1">
        <v>120000</v>
      </c>
      <c r="C13" s="1">
        <v>11.6</v>
      </c>
      <c r="D13">
        <f>VLOOKUP(B13,contriSunat_2021!$A$1:$B$26,2,0)</f>
        <v>377618</v>
      </c>
      <c r="E13" s="1">
        <f>VLOOKUP(B13,empleoPea_2017!$A$1:$B$26,2,0)</f>
        <v>512532</v>
      </c>
      <c r="F13" s="1"/>
      <c r="G13" s="1"/>
      <c r="H13" s="4" t="s">
        <v>40</v>
      </c>
      <c r="I13" s="1">
        <f>KURT(C2:C26)</f>
        <v>0.87052304400334268</v>
      </c>
      <c r="J13" s="1">
        <f t="shared" ref="J13:K13" si="11">KURT(D2:D26)</f>
        <v>23.42634612184046</v>
      </c>
      <c r="K13" s="1">
        <f t="shared" si="11"/>
        <v>22.235152730060634</v>
      </c>
      <c r="S13" s="5" t="s">
        <v>53</v>
      </c>
      <c r="T13" s="5">
        <v>2</v>
      </c>
      <c r="U13" s="5">
        <v>17816222987455.078</v>
      </c>
      <c r="V13" s="5">
        <v>8908111493727.5391</v>
      </c>
      <c r="W13" s="5">
        <v>1603.1296459370953</v>
      </c>
      <c r="X13" s="5">
        <v>1.4723022712497463E-24</v>
      </c>
    </row>
    <row r="14" spans="1:24" x14ac:dyDescent="0.15">
      <c r="A14" s="1" t="s">
        <v>15</v>
      </c>
      <c r="B14" s="1">
        <v>130000</v>
      </c>
      <c r="C14" s="1">
        <v>21.8</v>
      </c>
      <c r="D14">
        <f>VLOOKUP(B14,contriSunat_2021!$A$1:$B$26,2,0)</f>
        <v>489909</v>
      </c>
      <c r="E14" s="1">
        <f>VLOOKUP(B14,empleoPea_2017!$A$1:$B$26,2,0)</f>
        <v>691563</v>
      </c>
      <c r="F14" s="1"/>
      <c r="G14" s="1"/>
      <c r="I14" s="1"/>
      <c r="J14" s="2"/>
      <c r="S14" s="5" t="s">
        <v>54</v>
      </c>
      <c r="T14" s="5">
        <v>22</v>
      </c>
      <c r="U14" s="5">
        <v>122247413587.96866</v>
      </c>
      <c r="V14" s="5">
        <v>5556700617.6349392</v>
      </c>
      <c r="W14" s="5"/>
      <c r="X14" s="5"/>
    </row>
    <row r="15" spans="1:24" ht="14" thickBot="1" x14ac:dyDescent="0.2">
      <c r="A15" s="1" t="s">
        <v>16</v>
      </c>
      <c r="B15" s="1">
        <v>140000</v>
      </c>
      <c r="C15" s="1">
        <v>19.399999999999999</v>
      </c>
      <c r="D15">
        <f>VLOOKUP(B15,contriSunat_2021!$A$1:$B$26,2,0)</f>
        <v>345668</v>
      </c>
      <c r="E15" s="1">
        <f>VLOOKUP(B15,empleoPea_2017!$A$1:$B$26,2,0)</f>
        <v>459254</v>
      </c>
      <c r="F15" s="1"/>
      <c r="G15" s="1"/>
      <c r="I15" s="1"/>
      <c r="J15" s="2"/>
      <c r="S15" s="6" t="s">
        <v>55</v>
      </c>
      <c r="T15" s="6">
        <v>24</v>
      </c>
      <c r="U15" s="6">
        <v>17938470401043.047</v>
      </c>
      <c r="V15" s="6"/>
      <c r="W15" s="6"/>
      <c r="X15" s="6"/>
    </row>
    <row r="16" spans="1:24" ht="14" thickBot="1" x14ac:dyDescent="0.2">
      <c r="A16" s="1" t="s">
        <v>17</v>
      </c>
      <c r="B16" s="1">
        <v>150000</v>
      </c>
      <c r="C16" s="1">
        <v>31.4</v>
      </c>
      <c r="D16">
        <f>VLOOKUP(B16,contriSunat_2021!$A$1:$B$26,2,0)</f>
        <v>4887993</v>
      </c>
      <c r="E16" s="1">
        <f>VLOOKUP(B16,empleoPea_2017!$A$1:$B$26,2,0)</f>
        <v>4536507</v>
      </c>
      <c r="F16" s="1"/>
      <c r="G16" s="1"/>
    </row>
    <row r="17" spans="1:27" x14ac:dyDescent="0.15">
      <c r="A17" s="1" t="s">
        <v>18</v>
      </c>
      <c r="B17" s="1">
        <v>160000</v>
      </c>
      <c r="C17" s="1">
        <v>15.1</v>
      </c>
      <c r="D17">
        <f>VLOOKUP(B17,contriSunat_2021!$A$1:$B$26,2,0)</f>
        <v>218179</v>
      </c>
      <c r="E17" s="1">
        <f>VLOOKUP(B17,empleoPea_2017!$A$1:$B$26,2,0)</f>
        <v>300663</v>
      </c>
      <c r="F17" s="1"/>
      <c r="G17" s="1"/>
      <c r="S17" s="7"/>
      <c r="T17" s="7" t="s">
        <v>62</v>
      </c>
      <c r="U17" s="7" t="s">
        <v>45</v>
      </c>
      <c r="V17" s="7" t="s">
        <v>63</v>
      </c>
      <c r="W17" s="7" t="s">
        <v>64</v>
      </c>
      <c r="X17" s="7" t="s">
        <v>65</v>
      </c>
      <c r="Y17" s="7" t="s">
        <v>66</v>
      </c>
      <c r="Z17" s="7" t="s">
        <v>67</v>
      </c>
      <c r="AA17" s="7" t="s">
        <v>68</v>
      </c>
    </row>
    <row r="18" spans="1:27" x14ac:dyDescent="0.15">
      <c r="A18" s="1" t="s">
        <v>19</v>
      </c>
      <c r="B18" s="1">
        <v>170000</v>
      </c>
      <c r="C18" s="1">
        <v>17.3</v>
      </c>
      <c r="D18">
        <f>VLOOKUP(B18,contriSunat_2021!$A$1:$B$26,2,0)</f>
        <v>57440</v>
      </c>
      <c r="E18" s="1">
        <f>VLOOKUP(B18,empleoPea_2017!$A$1:$B$26,2,0)</f>
        <v>64206</v>
      </c>
      <c r="F18" s="1"/>
      <c r="G18" s="1"/>
      <c r="S18" s="5" t="s">
        <v>56</v>
      </c>
      <c r="T18" s="5">
        <v>115468.39013372042</v>
      </c>
      <c r="U18" s="5">
        <v>37869.930957341792</v>
      </c>
      <c r="V18" s="5">
        <v>3.0490784433641731</v>
      </c>
      <c r="W18" s="5">
        <v>5.884156746079618E-3</v>
      </c>
      <c r="X18" s="5">
        <v>36930.96023790435</v>
      </c>
      <c r="Y18" s="5">
        <v>194005.82002953649</v>
      </c>
      <c r="Z18" s="5">
        <v>36930.96023790435</v>
      </c>
      <c r="AA18" s="5">
        <v>194005.82002953649</v>
      </c>
    </row>
    <row r="19" spans="1:27" x14ac:dyDescent="0.15">
      <c r="A19" s="1" t="s">
        <v>20</v>
      </c>
      <c r="B19" s="1">
        <v>180000</v>
      </c>
      <c r="C19" s="1">
        <v>19</v>
      </c>
      <c r="D19">
        <f>VLOOKUP(B19,contriSunat_2021!$A$1:$B$26,2,0)</f>
        <v>93002</v>
      </c>
      <c r="E19" s="1">
        <f>VLOOKUP(B19,empleoPea_2017!$A$1:$B$26,2,0)</f>
        <v>82399</v>
      </c>
      <c r="F19" s="1"/>
      <c r="G19" s="1"/>
      <c r="S19" s="5" t="s">
        <v>2</v>
      </c>
      <c r="T19" s="5">
        <v>-1411.6491263874714</v>
      </c>
      <c r="U19" s="5">
        <v>1982.6823661222413</v>
      </c>
      <c r="V19" s="5">
        <v>-0.71198955037280887</v>
      </c>
      <c r="W19" s="5">
        <v>0.48395387932899225</v>
      </c>
      <c r="X19" s="5">
        <v>-5523.4806876966168</v>
      </c>
      <c r="Y19" s="5">
        <v>2700.182434921674</v>
      </c>
      <c r="Z19" s="5">
        <v>-5523.4806876966168</v>
      </c>
      <c r="AA19" s="5">
        <v>2700.182434921674</v>
      </c>
    </row>
    <row r="20" spans="1:27" ht="14" thickBot="1" x14ac:dyDescent="0.2">
      <c r="A20" s="1" t="s">
        <v>21</v>
      </c>
      <c r="B20" s="1">
        <v>190000</v>
      </c>
      <c r="C20" s="1">
        <v>7.8</v>
      </c>
      <c r="D20">
        <f>VLOOKUP(B20,contriSunat_2021!$A$1:$B$26,2,0)</f>
        <v>72646</v>
      </c>
      <c r="E20" s="1">
        <f>VLOOKUP(B20,empleoPea_2017!$A$1:$B$26,2,0)</f>
        <v>97392</v>
      </c>
      <c r="F20" s="1"/>
      <c r="G20" s="1"/>
      <c r="S20" s="6" t="s">
        <v>28</v>
      </c>
      <c r="T20" s="6">
        <v>0.92061576059802908</v>
      </c>
      <c r="U20" s="6">
        <v>1.7412279376501076E-2</v>
      </c>
      <c r="V20" s="6">
        <v>52.871639645321551</v>
      </c>
      <c r="W20" s="6">
        <v>1.1108455001771673E-24</v>
      </c>
      <c r="X20" s="6">
        <v>0.8845049033482828</v>
      </c>
      <c r="Y20" s="6">
        <v>0.95672661784777535</v>
      </c>
      <c r="Z20" s="6">
        <v>0.8845049033482828</v>
      </c>
      <c r="AA20" s="6">
        <v>0.95672661784777535</v>
      </c>
    </row>
    <row r="21" spans="1:27" x14ac:dyDescent="0.15">
      <c r="A21" s="1" t="s">
        <v>22</v>
      </c>
      <c r="B21" s="1">
        <v>200000</v>
      </c>
      <c r="C21" s="1">
        <v>22</v>
      </c>
      <c r="D21">
        <f>VLOOKUP(B21,contriSunat_2021!$A$1:$B$26,2,0)</f>
        <v>480596</v>
      </c>
      <c r="E21" s="1">
        <f>VLOOKUP(B21,empleoPea_2017!$A$1:$B$26,2,0)</f>
        <v>665465</v>
      </c>
      <c r="F21" s="1"/>
      <c r="G21" s="1"/>
    </row>
    <row r="22" spans="1:27" x14ac:dyDescent="0.15">
      <c r="A22" s="1" t="s">
        <v>23</v>
      </c>
      <c r="B22" s="1">
        <v>210000</v>
      </c>
      <c r="C22" s="1">
        <v>7.7</v>
      </c>
      <c r="D22">
        <f>VLOOKUP(B22,contriSunat_2021!$A$1:$B$26,2,0)</f>
        <v>307698</v>
      </c>
      <c r="E22" s="1">
        <f>VLOOKUP(B22,empleoPea_2017!$A$1:$B$26,2,0)</f>
        <v>454941</v>
      </c>
      <c r="F22" s="1"/>
      <c r="G22" s="1"/>
    </row>
    <row r="23" spans="1:27" x14ac:dyDescent="0.15">
      <c r="A23" s="1" t="s">
        <v>24</v>
      </c>
      <c r="B23" s="1">
        <v>220000</v>
      </c>
      <c r="C23" s="1">
        <v>16.2</v>
      </c>
      <c r="D23">
        <f>VLOOKUP(B23,contriSunat_2021!$A$1:$B$26,2,0)</f>
        <v>198605</v>
      </c>
      <c r="E23" s="1">
        <f>VLOOKUP(B23,empleoPea_2017!$A$1:$B$26,2,0)</f>
        <v>321613</v>
      </c>
      <c r="F23" s="1"/>
      <c r="G23" s="1"/>
    </row>
    <row r="24" spans="1:27" x14ac:dyDescent="0.15">
      <c r="A24" s="1" t="s">
        <v>25</v>
      </c>
      <c r="B24" s="1">
        <v>230000</v>
      </c>
      <c r="C24" s="1">
        <v>40.5</v>
      </c>
      <c r="D24">
        <f>VLOOKUP(B24,contriSunat_2021!$A$1:$B$26,2,0)</f>
        <v>163436</v>
      </c>
      <c r="E24" s="1">
        <f>VLOOKUP(B24,empleoPea_2017!$A$1:$B$26,2,0)</f>
        <v>161903</v>
      </c>
      <c r="F24" s="1"/>
      <c r="G24" s="1"/>
    </row>
    <row r="25" spans="1:27" x14ac:dyDescent="0.15">
      <c r="A25" s="1" t="s">
        <v>26</v>
      </c>
      <c r="B25" s="1">
        <v>240000</v>
      </c>
      <c r="C25" s="1">
        <v>17.3</v>
      </c>
      <c r="D25">
        <f>VLOOKUP(B25,contriSunat_2021!$A$1:$B$26,2,0)</f>
        <v>85685</v>
      </c>
      <c r="E25" s="1">
        <f>VLOOKUP(B25,empleoPea_2017!$A$1:$B$26,2,0)</f>
        <v>90571</v>
      </c>
      <c r="F25" s="1"/>
      <c r="G25" s="1"/>
    </row>
    <row r="26" spans="1:27" x14ac:dyDescent="0.15">
      <c r="A26" s="1" t="s">
        <v>27</v>
      </c>
      <c r="B26" s="1">
        <v>250000</v>
      </c>
      <c r="C26" s="1">
        <v>14.9</v>
      </c>
      <c r="D26">
        <f>VLOOKUP(B26,contriSunat_2021!$A$1:$B$26,2,0)</f>
        <v>161228</v>
      </c>
      <c r="E26" s="1">
        <f>VLOOKUP(B26,empleoPea_2017!$A$1:$B$26,2,0)</f>
        <v>189783</v>
      </c>
      <c r="F26" s="1"/>
      <c r="G26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6"/>
  <sheetViews>
    <sheetView workbookViewId="0">
      <pane ySplit="1" topLeftCell="A2" activePane="bottomLeft" state="frozen"/>
      <selection pane="bottomLeft" sqref="A1:C26"/>
    </sheetView>
  </sheetViews>
  <sheetFormatPr baseColWidth="10" defaultColWidth="12.6640625" defaultRowHeight="15.75" customHeight="1" x14ac:dyDescent="0.15"/>
  <cols>
    <col min="1" max="1" width="22" customWidth="1"/>
    <col min="2" max="2" width="21.5" customWidth="1"/>
    <col min="3" max="3" width="17.83203125" customWidth="1"/>
  </cols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 t="s">
        <v>3</v>
      </c>
      <c r="B2" s="1">
        <v>10000</v>
      </c>
      <c r="C2" s="1">
        <v>18.600000000000001</v>
      </c>
    </row>
    <row r="3" spans="1:3" ht="15.75" customHeight="1" x14ac:dyDescent="0.15">
      <c r="A3" s="1" t="s">
        <v>4</v>
      </c>
      <c r="B3" s="1">
        <v>20000</v>
      </c>
      <c r="C3" s="1">
        <v>13.9</v>
      </c>
    </row>
    <row r="4" spans="1:3" ht="15.75" customHeight="1" x14ac:dyDescent="0.15">
      <c r="A4" s="1" t="s">
        <v>5</v>
      </c>
      <c r="B4" s="1">
        <v>30000</v>
      </c>
      <c r="C4" s="1">
        <v>8.6999999999999993</v>
      </c>
    </row>
    <row r="5" spans="1:3" ht="15.75" customHeight="1" x14ac:dyDescent="0.15">
      <c r="A5" s="1" t="s">
        <v>6</v>
      </c>
      <c r="B5" s="1">
        <v>40000</v>
      </c>
      <c r="C5" s="1">
        <v>27.4</v>
      </c>
    </row>
    <row r="6" spans="1:3" ht="15.75" customHeight="1" x14ac:dyDescent="0.15">
      <c r="A6" s="1" t="s">
        <v>7</v>
      </c>
      <c r="B6" s="1">
        <v>50000</v>
      </c>
      <c r="C6" s="1">
        <v>17</v>
      </c>
    </row>
    <row r="7" spans="1:3" ht="15.75" customHeight="1" x14ac:dyDescent="0.15">
      <c r="A7" s="1" t="s">
        <v>8</v>
      </c>
      <c r="B7" s="1">
        <v>60000</v>
      </c>
      <c r="C7" s="1">
        <v>18</v>
      </c>
    </row>
    <row r="8" spans="1:3" ht="15.75" customHeight="1" x14ac:dyDescent="0.15">
      <c r="A8" s="1" t="s">
        <v>9</v>
      </c>
      <c r="B8" s="1">
        <v>70000</v>
      </c>
      <c r="C8" s="1">
        <v>33.799999999999997</v>
      </c>
    </row>
    <row r="9" spans="1:3" ht="15.75" customHeight="1" x14ac:dyDescent="0.15">
      <c r="A9" s="1" t="s">
        <v>10</v>
      </c>
      <c r="B9" s="1">
        <v>80000</v>
      </c>
      <c r="C9" s="1">
        <v>11.9</v>
      </c>
    </row>
    <row r="10" spans="1:3" ht="15.75" customHeight="1" x14ac:dyDescent="0.15">
      <c r="A10" s="1" t="s">
        <v>11</v>
      </c>
      <c r="B10" s="1">
        <v>90000</v>
      </c>
      <c r="C10" s="1">
        <v>10.1</v>
      </c>
    </row>
    <row r="11" spans="1:3" ht="15.75" customHeight="1" x14ac:dyDescent="0.15">
      <c r="A11" s="1" t="s">
        <v>12</v>
      </c>
      <c r="B11" s="1">
        <v>100000</v>
      </c>
      <c r="C11" s="1">
        <v>15.6</v>
      </c>
    </row>
    <row r="12" spans="1:3" ht="15.75" customHeight="1" x14ac:dyDescent="0.15">
      <c r="A12" s="1" t="s">
        <v>13</v>
      </c>
      <c r="B12" s="1">
        <v>110000</v>
      </c>
      <c r="C12" s="1">
        <v>28.3</v>
      </c>
    </row>
    <row r="13" spans="1:3" ht="15.75" customHeight="1" x14ac:dyDescent="0.15">
      <c r="A13" s="1" t="s">
        <v>14</v>
      </c>
      <c r="B13" s="1">
        <v>120000</v>
      </c>
      <c r="C13" s="1">
        <v>11.6</v>
      </c>
    </row>
    <row r="14" spans="1:3" ht="15.75" customHeight="1" x14ac:dyDescent="0.15">
      <c r="A14" s="1" t="s">
        <v>15</v>
      </c>
      <c r="B14" s="1">
        <v>130000</v>
      </c>
      <c r="C14" s="1">
        <v>21.8</v>
      </c>
    </row>
    <row r="15" spans="1:3" ht="15.75" customHeight="1" x14ac:dyDescent="0.15">
      <c r="A15" s="1" t="s">
        <v>16</v>
      </c>
      <c r="B15" s="1">
        <v>140000</v>
      </c>
      <c r="C15" s="1">
        <v>19.399999999999999</v>
      </c>
    </row>
    <row r="16" spans="1:3" ht="15.75" customHeight="1" x14ac:dyDescent="0.15">
      <c r="A16" s="1" t="s">
        <v>17</v>
      </c>
      <c r="B16" s="1">
        <v>150000</v>
      </c>
      <c r="C16" s="1">
        <v>31.4</v>
      </c>
    </row>
    <row r="17" spans="1:3" ht="15.75" customHeight="1" x14ac:dyDescent="0.15">
      <c r="A17" s="1" t="s">
        <v>18</v>
      </c>
      <c r="B17" s="1">
        <v>160000</v>
      </c>
      <c r="C17" s="1">
        <v>15.1</v>
      </c>
    </row>
    <row r="18" spans="1:3" ht="15.75" customHeight="1" x14ac:dyDescent="0.15">
      <c r="A18" s="1" t="s">
        <v>19</v>
      </c>
      <c r="B18" s="1">
        <v>170000</v>
      </c>
      <c r="C18" s="1">
        <v>17.3</v>
      </c>
    </row>
    <row r="19" spans="1:3" ht="15.75" customHeight="1" x14ac:dyDescent="0.15">
      <c r="A19" s="1" t="s">
        <v>20</v>
      </c>
      <c r="B19" s="1">
        <v>180000</v>
      </c>
      <c r="C19" s="1">
        <v>19</v>
      </c>
    </row>
    <row r="20" spans="1:3" ht="15.75" customHeight="1" x14ac:dyDescent="0.15">
      <c r="A20" s="1" t="s">
        <v>21</v>
      </c>
      <c r="B20" s="1">
        <v>190000</v>
      </c>
      <c r="C20" s="1">
        <v>7.8</v>
      </c>
    </row>
    <row r="21" spans="1:3" ht="15.75" customHeight="1" x14ac:dyDescent="0.15">
      <c r="A21" s="1" t="s">
        <v>22</v>
      </c>
      <c r="B21" s="1">
        <v>200000</v>
      </c>
      <c r="C21" s="1">
        <v>22</v>
      </c>
    </row>
    <row r="22" spans="1:3" ht="15.75" customHeight="1" x14ac:dyDescent="0.15">
      <c r="A22" s="1" t="s">
        <v>23</v>
      </c>
      <c r="B22" s="1">
        <v>210000</v>
      </c>
      <c r="C22" s="1">
        <v>7.7</v>
      </c>
    </row>
    <row r="23" spans="1:3" ht="15.75" customHeight="1" x14ac:dyDescent="0.15">
      <c r="A23" s="1" t="s">
        <v>24</v>
      </c>
      <c r="B23" s="1">
        <v>220000</v>
      </c>
      <c r="C23" s="1">
        <v>16.2</v>
      </c>
    </row>
    <row r="24" spans="1:3" ht="15.75" customHeight="1" x14ac:dyDescent="0.15">
      <c r="A24" s="1" t="s">
        <v>25</v>
      </c>
      <c r="B24" s="1">
        <v>230000</v>
      </c>
      <c r="C24" s="1">
        <v>40.5</v>
      </c>
    </row>
    <row r="25" spans="1:3" ht="15.75" customHeight="1" x14ac:dyDescent="0.15">
      <c r="A25" s="1" t="s">
        <v>26</v>
      </c>
      <c r="B25" s="1">
        <v>240000</v>
      </c>
      <c r="C25" s="1">
        <v>17.3</v>
      </c>
    </row>
    <row r="26" spans="1:3" ht="15.75" customHeight="1" x14ac:dyDescent="0.15">
      <c r="A26" s="1" t="s">
        <v>27</v>
      </c>
      <c r="B26" s="1">
        <v>250000</v>
      </c>
      <c r="C26" s="1">
        <v>14.9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26"/>
  <sheetViews>
    <sheetView workbookViewId="0">
      <pane ySplit="1" topLeftCell="A2" activePane="bottomLeft" state="frozen"/>
      <selection pane="bottomLeft" sqref="A1:B26"/>
    </sheetView>
  </sheetViews>
  <sheetFormatPr baseColWidth="10" defaultColWidth="12.6640625" defaultRowHeight="15.75" customHeight="1" x14ac:dyDescent="0.15"/>
  <sheetData>
    <row r="1" spans="1:2" ht="15.75" customHeight="1" x14ac:dyDescent="0.15">
      <c r="A1" s="1" t="s">
        <v>1</v>
      </c>
      <c r="B1" s="1" t="s">
        <v>28</v>
      </c>
    </row>
    <row r="2" spans="1:2" ht="15.75" customHeight="1" x14ac:dyDescent="0.15">
      <c r="A2" s="1">
        <v>10000</v>
      </c>
      <c r="B2" s="1">
        <v>75035</v>
      </c>
    </row>
    <row r="3" spans="1:2" ht="15.75" customHeight="1" x14ac:dyDescent="0.15">
      <c r="A3" s="1">
        <v>20000</v>
      </c>
      <c r="B3" s="1">
        <v>302906</v>
      </c>
    </row>
    <row r="4" spans="1:2" ht="15.75" customHeight="1" x14ac:dyDescent="0.15">
      <c r="A4" s="1">
        <v>30000</v>
      </c>
      <c r="B4" s="1">
        <v>103981</v>
      </c>
    </row>
    <row r="5" spans="1:2" ht="15.75" customHeight="1" x14ac:dyDescent="0.15">
      <c r="A5" s="1">
        <v>40000</v>
      </c>
      <c r="B5" s="1">
        <v>585628</v>
      </c>
    </row>
    <row r="6" spans="1:2" ht="15.75" customHeight="1" x14ac:dyDescent="0.15">
      <c r="A6" s="1">
        <v>50000</v>
      </c>
      <c r="B6" s="1">
        <v>151191</v>
      </c>
    </row>
    <row r="7" spans="1:2" ht="15.75" customHeight="1" x14ac:dyDescent="0.15">
      <c r="A7" s="1">
        <v>60000</v>
      </c>
      <c r="B7" s="1">
        <v>277457</v>
      </c>
    </row>
    <row r="8" spans="1:2" ht="15.75" customHeight="1" x14ac:dyDescent="0.15">
      <c r="A8" s="1">
        <v>70000</v>
      </c>
      <c r="B8" s="1">
        <v>499257</v>
      </c>
    </row>
    <row r="9" spans="1:2" ht="15.75" customHeight="1" x14ac:dyDescent="0.15">
      <c r="A9" s="1">
        <v>80000</v>
      </c>
      <c r="B9" s="1">
        <v>466883</v>
      </c>
    </row>
    <row r="10" spans="1:2" ht="15.75" customHeight="1" x14ac:dyDescent="0.15">
      <c r="A10" s="1">
        <v>90000</v>
      </c>
      <c r="B10" s="1">
        <v>80353</v>
      </c>
    </row>
    <row r="11" spans="1:2" ht="15.75" customHeight="1" x14ac:dyDescent="0.15">
      <c r="A11" s="1">
        <v>100000</v>
      </c>
      <c r="B11" s="1">
        <v>185658</v>
      </c>
    </row>
    <row r="12" spans="1:2" ht="15.75" customHeight="1" x14ac:dyDescent="0.15">
      <c r="A12" s="1">
        <v>110000</v>
      </c>
      <c r="B12" s="1">
        <v>276632</v>
      </c>
    </row>
    <row r="13" spans="1:2" ht="15.75" customHeight="1" x14ac:dyDescent="0.15">
      <c r="A13" s="1">
        <v>120000</v>
      </c>
      <c r="B13" s="1">
        <v>377618</v>
      </c>
    </row>
    <row r="14" spans="1:2" ht="15.75" customHeight="1" x14ac:dyDescent="0.15">
      <c r="A14" s="1">
        <v>130000</v>
      </c>
      <c r="B14" s="1">
        <v>489909</v>
      </c>
    </row>
    <row r="15" spans="1:2" ht="15.75" customHeight="1" x14ac:dyDescent="0.15">
      <c r="A15" s="1">
        <v>140000</v>
      </c>
      <c r="B15" s="1">
        <v>345668</v>
      </c>
    </row>
    <row r="16" spans="1:2" ht="15.75" customHeight="1" x14ac:dyDescent="0.15">
      <c r="A16" s="1">
        <v>150000</v>
      </c>
      <c r="B16" s="1">
        <v>4887993</v>
      </c>
    </row>
    <row r="17" spans="1:2" ht="15.75" customHeight="1" x14ac:dyDescent="0.15">
      <c r="A17" s="1">
        <v>160000</v>
      </c>
      <c r="B17" s="1">
        <v>218179</v>
      </c>
    </row>
    <row r="18" spans="1:2" ht="15.75" customHeight="1" x14ac:dyDescent="0.15">
      <c r="A18" s="1">
        <v>170000</v>
      </c>
      <c r="B18" s="1">
        <v>57440</v>
      </c>
    </row>
    <row r="19" spans="1:2" ht="15.75" customHeight="1" x14ac:dyDescent="0.15">
      <c r="A19" s="1">
        <v>180000</v>
      </c>
      <c r="B19" s="1">
        <v>93002</v>
      </c>
    </row>
    <row r="20" spans="1:2" ht="15.75" customHeight="1" x14ac:dyDescent="0.15">
      <c r="A20" s="1">
        <v>190000</v>
      </c>
      <c r="B20" s="1">
        <v>72646</v>
      </c>
    </row>
    <row r="21" spans="1:2" ht="15.75" customHeight="1" x14ac:dyDescent="0.15">
      <c r="A21" s="1">
        <v>200000</v>
      </c>
      <c r="B21" s="1">
        <v>480596</v>
      </c>
    </row>
    <row r="22" spans="1:2" ht="15.75" customHeight="1" x14ac:dyDescent="0.15">
      <c r="A22" s="1">
        <v>210000</v>
      </c>
      <c r="B22" s="1">
        <v>307698</v>
      </c>
    </row>
    <row r="23" spans="1:2" ht="15.75" customHeight="1" x14ac:dyDescent="0.15">
      <c r="A23" s="1">
        <v>220000</v>
      </c>
      <c r="B23" s="1">
        <v>198605</v>
      </c>
    </row>
    <row r="24" spans="1:2" ht="15.75" customHeight="1" x14ac:dyDescent="0.15">
      <c r="A24" s="1">
        <v>230000</v>
      </c>
      <c r="B24" s="1">
        <v>163436</v>
      </c>
    </row>
    <row r="25" spans="1:2" ht="15.75" customHeight="1" x14ac:dyDescent="0.15">
      <c r="A25" s="1">
        <v>240000</v>
      </c>
      <c r="B25" s="1">
        <v>85685</v>
      </c>
    </row>
    <row r="26" spans="1:2" ht="15.75" customHeight="1" x14ac:dyDescent="0.15">
      <c r="A26" s="1">
        <v>250000</v>
      </c>
      <c r="B26" s="1">
        <v>161228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O2096"/>
  <sheetViews>
    <sheetView workbookViewId="0">
      <pane ySplit="1" topLeftCell="A2" activePane="bottomLeft" state="frozen"/>
      <selection pane="bottomLeft" sqref="A1:B26"/>
    </sheetView>
  </sheetViews>
  <sheetFormatPr baseColWidth="10" defaultColWidth="12.6640625" defaultRowHeight="15.75" customHeight="1" x14ac:dyDescent="0.15"/>
  <sheetData>
    <row r="1" spans="1:41" ht="15.75" customHeight="1" x14ac:dyDescent="0.15">
      <c r="A1" s="1" t="s">
        <v>1</v>
      </c>
      <c r="B1" s="1" t="s">
        <v>29</v>
      </c>
    </row>
    <row r="2" spans="1:41" ht="15.75" customHeight="1" x14ac:dyDescent="0.15">
      <c r="A2" s="1">
        <v>10000</v>
      </c>
      <c r="B2" s="2">
        <v>130019</v>
      </c>
      <c r="C2" s="2"/>
      <c r="D2" s="2"/>
      <c r="F2" s="2"/>
      <c r="G2" s="2"/>
      <c r="H2" s="2"/>
      <c r="I2" s="2"/>
      <c r="K2" s="2"/>
      <c r="M2" s="2"/>
      <c r="N2" s="2"/>
      <c r="P2" s="2"/>
      <c r="Q2" s="2"/>
      <c r="S2" s="2"/>
      <c r="U2" s="2"/>
      <c r="W2" s="2"/>
      <c r="X2" s="2"/>
      <c r="AA2" s="2"/>
      <c r="AC2" s="2"/>
      <c r="AE2" s="2"/>
      <c r="AG2" s="2"/>
      <c r="AO2" s="2"/>
    </row>
    <row r="3" spans="1:41" ht="15.75" customHeight="1" x14ac:dyDescent="0.15">
      <c r="A3" s="1">
        <v>20000</v>
      </c>
      <c r="B3" s="2">
        <v>387976</v>
      </c>
      <c r="C3" s="2"/>
      <c r="D3" s="2"/>
      <c r="F3" s="2"/>
      <c r="G3" s="2"/>
      <c r="H3" s="2"/>
      <c r="I3" s="2"/>
      <c r="K3" s="2"/>
      <c r="M3" s="2"/>
      <c r="N3" s="2"/>
      <c r="P3" s="2"/>
      <c r="Q3" s="2"/>
      <c r="R3" s="2"/>
      <c r="S3" s="2"/>
      <c r="T3" s="2"/>
      <c r="U3" s="2"/>
      <c r="W3" s="2"/>
      <c r="X3" s="2"/>
      <c r="Z3" s="2"/>
      <c r="AA3" s="2"/>
      <c r="AB3" s="2"/>
      <c r="AC3" s="2"/>
      <c r="AD3" s="2"/>
      <c r="AE3" s="2"/>
      <c r="AG3" s="2"/>
      <c r="AH3" s="2"/>
      <c r="AK3" s="2"/>
      <c r="AM3" s="2"/>
      <c r="AO3" s="2"/>
    </row>
    <row r="4" spans="1:41" ht="15.75" customHeight="1" x14ac:dyDescent="0.15">
      <c r="A4" s="1">
        <v>30000</v>
      </c>
      <c r="B4" s="2">
        <v>140341</v>
      </c>
      <c r="C4" s="2"/>
      <c r="D4" s="2"/>
      <c r="F4" s="2"/>
      <c r="G4" s="2"/>
      <c r="H4" s="2"/>
      <c r="I4" s="2"/>
      <c r="K4" s="2"/>
      <c r="M4" s="2"/>
      <c r="N4" s="2"/>
      <c r="P4" s="2"/>
      <c r="Q4" s="2"/>
      <c r="R4" s="2"/>
      <c r="S4" s="2"/>
      <c r="T4" s="2"/>
      <c r="U4" s="2"/>
      <c r="W4" s="2"/>
      <c r="X4" s="2"/>
      <c r="AA4" s="2"/>
      <c r="AC4" s="2"/>
      <c r="AD4" s="2"/>
      <c r="AE4" s="2"/>
      <c r="AG4" s="2"/>
      <c r="AH4" s="2"/>
      <c r="AO4" s="2"/>
    </row>
    <row r="5" spans="1:41" ht="15.75" customHeight="1" x14ac:dyDescent="0.15">
      <c r="A5" s="1">
        <v>40000</v>
      </c>
      <c r="B5" s="2">
        <v>645001</v>
      </c>
      <c r="C5" s="2"/>
      <c r="D5" s="2"/>
      <c r="F5" s="2"/>
      <c r="G5" s="2"/>
      <c r="H5" s="2"/>
      <c r="I5" s="2"/>
      <c r="J5" s="2"/>
      <c r="K5" s="2"/>
      <c r="M5" s="2"/>
      <c r="N5" s="2"/>
      <c r="P5" s="2"/>
      <c r="Q5" s="2"/>
      <c r="R5" s="2"/>
      <c r="S5" s="2"/>
      <c r="T5" s="2"/>
      <c r="U5" s="2"/>
      <c r="W5" s="2"/>
      <c r="X5" s="2"/>
      <c r="Z5" s="2"/>
      <c r="AA5" s="2"/>
      <c r="AB5" s="2"/>
      <c r="AC5" s="2"/>
      <c r="AD5" s="2"/>
      <c r="AE5" s="2"/>
      <c r="AG5" s="2"/>
      <c r="AH5" s="2"/>
      <c r="AK5" s="2"/>
      <c r="AM5" s="2"/>
      <c r="AO5" s="2"/>
    </row>
    <row r="6" spans="1:41" ht="15.75" customHeight="1" x14ac:dyDescent="0.15">
      <c r="A6" s="1">
        <v>50000</v>
      </c>
      <c r="B6" s="2">
        <v>235857</v>
      </c>
      <c r="C6" s="2"/>
      <c r="D6" s="2"/>
      <c r="F6" s="2"/>
      <c r="G6" s="2"/>
      <c r="H6" s="2"/>
      <c r="I6" s="2"/>
      <c r="K6" s="2"/>
      <c r="M6" s="2"/>
      <c r="N6" s="2"/>
      <c r="P6" s="2"/>
      <c r="Q6" s="2"/>
      <c r="R6" s="2"/>
      <c r="S6" s="2"/>
      <c r="T6" s="2"/>
      <c r="U6" s="2"/>
      <c r="W6" s="2"/>
      <c r="X6" s="2"/>
      <c r="Z6" s="2"/>
      <c r="AA6" s="2"/>
      <c r="AC6" s="2"/>
      <c r="AD6" s="2"/>
      <c r="AE6" s="2"/>
      <c r="AG6" s="2"/>
      <c r="AH6" s="2"/>
      <c r="AM6" s="2"/>
      <c r="AO6" s="2"/>
    </row>
    <row r="7" spans="1:41" ht="15.75" customHeight="1" x14ac:dyDescent="0.15">
      <c r="A7" s="1">
        <v>60000</v>
      </c>
      <c r="B7" s="2">
        <v>461312</v>
      </c>
      <c r="C7" s="2"/>
      <c r="D7" s="2"/>
      <c r="F7" s="2"/>
      <c r="G7" s="2"/>
      <c r="H7" s="2"/>
      <c r="I7" s="2"/>
      <c r="K7" s="2"/>
      <c r="M7" s="2"/>
      <c r="N7" s="2"/>
      <c r="P7" s="2"/>
      <c r="Q7" s="2"/>
      <c r="R7" s="2"/>
      <c r="S7" s="2"/>
      <c r="T7" s="2"/>
      <c r="U7" s="2"/>
      <c r="W7" s="2"/>
      <c r="X7" s="2"/>
      <c r="Z7" s="2"/>
      <c r="AA7" s="2"/>
      <c r="AC7" s="2"/>
      <c r="AD7" s="2"/>
      <c r="AE7" s="2"/>
      <c r="AG7" s="2"/>
      <c r="AH7" s="2"/>
      <c r="AM7" s="2"/>
      <c r="AO7" s="2"/>
    </row>
    <row r="8" spans="1:41" ht="15.75" customHeight="1" x14ac:dyDescent="0.15">
      <c r="A8" s="1">
        <v>70000</v>
      </c>
      <c r="B8" s="2">
        <v>445072</v>
      </c>
      <c r="C8" s="2"/>
      <c r="D8" s="2"/>
      <c r="F8" s="2"/>
      <c r="G8" s="2"/>
      <c r="H8" s="2"/>
      <c r="I8" s="2"/>
      <c r="M8" s="2"/>
      <c r="N8" s="2"/>
      <c r="P8" s="2"/>
      <c r="Q8" s="2"/>
      <c r="R8" s="2"/>
      <c r="S8" s="2"/>
      <c r="T8" s="2"/>
      <c r="W8" s="2"/>
      <c r="X8" s="2"/>
      <c r="Z8" s="2"/>
      <c r="AA8" s="2"/>
      <c r="AB8" s="2"/>
      <c r="AC8" s="2"/>
      <c r="AD8" s="2"/>
      <c r="AG8" s="2"/>
      <c r="AH8" s="2"/>
      <c r="AK8" s="2"/>
      <c r="AM8" s="2"/>
      <c r="AO8" s="2"/>
    </row>
    <row r="9" spans="1:41" ht="15.75" customHeight="1" x14ac:dyDescent="0.15">
      <c r="A9" s="1">
        <v>80000</v>
      </c>
      <c r="B9" s="2">
        <v>496399</v>
      </c>
      <c r="C9" s="2"/>
      <c r="D9" s="2"/>
      <c r="F9" s="2"/>
      <c r="G9" s="2"/>
      <c r="H9" s="2"/>
      <c r="I9" s="2"/>
      <c r="K9" s="2"/>
      <c r="M9" s="2"/>
      <c r="N9" s="2"/>
      <c r="P9" s="2"/>
      <c r="Q9" s="2"/>
      <c r="R9" s="2"/>
      <c r="S9" s="2"/>
      <c r="T9" s="2"/>
      <c r="U9" s="2"/>
      <c r="W9" s="2"/>
      <c r="X9" s="2"/>
      <c r="Z9" s="2"/>
      <c r="AA9" s="2"/>
      <c r="AB9" s="2"/>
      <c r="AC9" s="2"/>
      <c r="AD9" s="2"/>
      <c r="AE9" s="2"/>
      <c r="AG9" s="2"/>
      <c r="AH9" s="2"/>
      <c r="AM9" s="2"/>
      <c r="AO9" s="2"/>
    </row>
    <row r="10" spans="1:41" ht="15.75" customHeight="1" x14ac:dyDescent="0.15">
      <c r="A10" s="1">
        <v>90000</v>
      </c>
      <c r="B10" s="2">
        <v>111996</v>
      </c>
      <c r="C10" s="2"/>
      <c r="D10" s="2"/>
      <c r="F10" s="2"/>
      <c r="G10" s="2"/>
      <c r="H10" s="2"/>
      <c r="I10" s="2"/>
      <c r="K10" s="2"/>
      <c r="M10" s="2"/>
      <c r="N10" s="2"/>
      <c r="Q10" s="2"/>
      <c r="S10" s="2"/>
      <c r="U10" s="2"/>
      <c r="W10" s="2"/>
      <c r="X10" s="2"/>
      <c r="AA10" s="2"/>
      <c r="AC10" s="2"/>
      <c r="AE10" s="2"/>
      <c r="AG10" s="2"/>
      <c r="AH10" s="2"/>
      <c r="AO10" s="2"/>
    </row>
    <row r="11" spans="1:41" ht="15.75" customHeight="1" x14ac:dyDescent="0.15">
      <c r="A11" s="1">
        <v>100000</v>
      </c>
      <c r="B11" s="2">
        <v>253200</v>
      </c>
      <c r="C11" s="2"/>
      <c r="D11" s="2"/>
      <c r="F11" s="2"/>
      <c r="G11" s="2"/>
      <c r="H11" s="2"/>
      <c r="I11" s="2"/>
      <c r="K11" s="2"/>
      <c r="M11" s="2"/>
      <c r="N11" s="2"/>
      <c r="P11" s="2"/>
      <c r="Q11" s="2"/>
      <c r="R11" s="2"/>
      <c r="S11" s="2"/>
      <c r="T11" s="2"/>
      <c r="U11" s="2"/>
      <c r="W11" s="2"/>
      <c r="X11" s="2"/>
      <c r="Z11" s="2"/>
      <c r="AA11" s="2"/>
      <c r="AB11" s="2"/>
      <c r="AC11" s="2"/>
      <c r="AD11" s="2"/>
      <c r="AE11" s="2"/>
      <c r="AG11" s="2"/>
      <c r="AH11" s="2"/>
      <c r="AM11" s="2"/>
      <c r="AO11" s="2"/>
    </row>
    <row r="12" spans="1:41" ht="15.75" customHeight="1" x14ac:dyDescent="0.15">
      <c r="A12" s="1">
        <v>110000</v>
      </c>
      <c r="B12" s="2">
        <v>369753</v>
      </c>
      <c r="C12" s="2"/>
      <c r="D12" s="2"/>
      <c r="F12" s="2"/>
      <c r="G12" s="2"/>
      <c r="H12" s="2"/>
      <c r="I12" s="2"/>
      <c r="M12" s="2"/>
      <c r="N12" s="2"/>
      <c r="P12" s="2"/>
      <c r="Q12" s="2"/>
      <c r="R12" s="2"/>
      <c r="S12" s="2"/>
      <c r="T12" s="2"/>
      <c r="U12" s="2"/>
      <c r="W12" s="2"/>
      <c r="X12" s="2"/>
      <c r="Z12" s="2"/>
      <c r="AA12" s="2"/>
      <c r="AB12" s="2"/>
      <c r="AC12" s="2"/>
      <c r="AD12" s="2"/>
      <c r="AG12" s="2"/>
      <c r="AH12" s="2"/>
      <c r="AM12" s="2"/>
      <c r="AO12" s="2"/>
    </row>
    <row r="13" spans="1:41" ht="15.75" customHeight="1" x14ac:dyDescent="0.15">
      <c r="A13" s="1">
        <v>120000</v>
      </c>
      <c r="B13" s="2">
        <v>512532</v>
      </c>
      <c r="C13" s="2"/>
      <c r="D13" s="2"/>
      <c r="F13" s="2"/>
      <c r="G13" s="2"/>
      <c r="H13" s="2"/>
      <c r="I13" s="2"/>
      <c r="K13" s="2"/>
      <c r="M13" s="2"/>
      <c r="N13" s="2"/>
      <c r="P13" s="2"/>
      <c r="Q13" s="2"/>
      <c r="R13" s="2"/>
      <c r="S13" s="2"/>
      <c r="T13" s="2"/>
      <c r="U13" s="2"/>
      <c r="W13" s="2"/>
      <c r="X13" s="2"/>
      <c r="Z13" s="2"/>
      <c r="AA13" s="2"/>
      <c r="AB13" s="2"/>
      <c r="AC13" s="2"/>
      <c r="AD13" s="2"/>
      <c r="AE13" s="2"/>
      <c r="AG13" s="2"/>
      <c r="AH13" s="2"/>
      <c r="AK13" s="2"/>
      <c r="AM13" s="2"/>
      <c r="AO13" s="2"/>
    </row>
    <row r="14" spans="1:41" ht="15.75" customHeight="1" x14ac:dyDescent="0.15">
      <c r="A14" s="1">
        <v>130000</v>
      </c>
      <c r="B14" s="2">
        <v>691563</v>
      </c>
      <c r="C14" s="2"/>
      <c r="D14" s="2"/>
      <c r="F14" s="2"/>
      <c r="G14" s="2"/>
      <c r="H14" s="2"/>
      <c r="I14" s="2"/>
      <c r="J14" s="2"/>
      <c r="K14" s="2"/>
      <c r="M14" s="2"/>
      <c r="N14" s="2"/>
      <c r="P14" s="2"/>
      <c r="Q14" s="2"/>
      <c r="R14" s="2"/>
      <c r="S14" s="2"/>
      <c r="T14" s="2"/>
      <c r="U14" s="2"/>
      <c r="W14" s="2"/>
      <c r="X14" s="2"/>
      <c r="Z14" s="2"/>
      <c r="AA14" s="2"/>
      <c r="AB14" s="2"/>
      <c r="AC14" s="2"/>
      <c r="AD14" s="2"/>
      <c r="AE14" s="2"/>
      <c r="AG14" s="2"/>
      <c r="AH14" s="2"/>
      <c r="AK14" s="2"/>
      <c r="AM14" s="2"/>
      <c r="AO14" s="2"/>
    </row>
    <row r="15" spans="1:41" ht="15.75" customHeight="1" x14ac:dyDescent="0.15">
      <c r="A15" s="1">
        <v>140000</v>
      </c>
      <c r="B15" s="2">
        <v>459254</v>
      </c>
      <c r="C15" s="2"/>
      <c r="D15" s="2"/>
      <c r="F15" s="2"/>
      <c r="G15" s="2"/>
      <c r="H15" s="2"/>
      <c r="I15" s="2"/>
      <c r="K15" s="2"/>
      <c r="M15" s="2"/>
      <c r="N15" s="2"/>
      <c r="P15" s="2"/>
      <c r="Q15" s="2"/>
      <c r="R15" s="2"/>
      <c r="S15" s="2"/>
      <c r="T15" s="2"/>
      <c r="U15" s="2"/>
      <c r="W15" s="2"/>
      <c r="X15" s="2"/>
      <c r="Z15" s="2"/>
      <c r="AA15" s="2"/>
      <c r="AB15" s="2"/>
      <c r="AC15" s="2"/>
      <c r="AD15" s="2"/>
      <c r="AE15" s="2"/>
      <c r="AG15" s="2"/>
      <c r="AH15" s="2"/>
      <c r="AK15" s="2"/>
      <c r="AM15" s="2"/>
      <c r="AO15" s="2"/>
    </row>
    <row r="16" spans="1:41" ht="15.75" customHeight="1" x14ac:dyDescent="0.15">
      <c r="A16" s="1">
        <v>150000</v>
      </c>
      <c r="B16" s="2">
        <v>4536507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Z16" s="2"/>
      <c r="AA16" s="2"/>
      <c r="AB16" s="2"/>
      <c r="AC16" s="2"/>
      <c r="AD16" s="2"/>
      <c r="AE16" s="2"/>
      <c r="AG16" s="2"/>
      <c r="AH16" s="2"/>
      <c r="AJ16" s="2"/>
      <c r="AK16" s="2"/>
      <c r="AL16" s="2"/>
      <c r="AM16" s="2"/>
      <c r="AN16" s="2"/>
      <c r="AO16" s="2"/>
    </row>
    <row r="17" spans="1:41" ht="15.75" customHeight="1" x14ac:dyDescent="0.15">
      <c r="A17" s="1">
        <v>160000</v>
      </c>
      <c r="B17" s="2">
        <v>300663</v>
      </c>
      <c r="C17" s="2"/>
      <c r="D17" s="2"/>
      <c r="F17" s="2"/>
      <c r="G17" s="2"/>
      <c r="H17" s="2"/>
      <c r="I17" s="2"/>
      <c r="K17" s="2"/>
      <c r="M17" s="2"/>
      <c r="N17" s="2"/>
      <c r="P17" s="2"/>
      <c r="Q17" s="2"/>
      <c r="R17" s="2"/>
      <c r="S17" s="2"/>
      <c r="T17" s="2"/>
      <c r="U17" s="2"/>
      <c r="W17" s="2"/>
      <c r="X17" s="2"/>
      <c r="Z17" s="2"/>
      <c r="AA17" s="2"/>
      <c r="AB17" s="2"/>
      <c r="AC17" s="2"/>
      <c r="AD17" s="2"/>
      <c r="AE17" s="2"/>
      <c r="AG17" s="2"/>
      <c r="AH17" s="2"/>
      <c r="AM17" s="2"/>
      <c r="AO17" s="2"/>
    </row>
    <row r="18" spans="1:41" ht="15.75" customHeight="1" x14ac:dyDescent="0.15">
      <c r="A18" s="1">
        <v>170000</v>
      </c>
      <c r="B18" s="2">
        <v>64206</v>
      </c>
      <c r="C18" s="2"/>
      <c r="D18" s="2"/>
      <c r="F18" s="2"/>
      <c r="G18" s="2"/>
      <c r="H18" s="2"/>
      <c r="I18" s="2"/>
      <c r="M18" s="2"/>
      <c r="N18" s="2"/>
      <c r="P18" s="2"/>
      <c r="Q18" s="2"/>
      <c r="S18" s="2"/>
      <c r="W18" s="2"/>
      <c r="X18" s="2"/>
      <c r="AA18" s="2"/>
      <c r="AC18" s="2"/>
      <c r="AG18" s="2"/>
      <c r="AO18" s="2"/>
    </row>
    <row r="19" spans="1:41" ht="15.75" customHeight="1" x14ac:dyDescent="0.15">
      <c r="A19" s="1">
        <v>180000</v>
      </c>
      <c r="B19" s="2">
        <v>82399</v>
      </c>
      <c r="D19" s="2"/>
      <c r="F19" s="2"/>
      <c r="G19" s="2"/>
      <c r="H19" s="2"/>
      <c r="I19" s="2"/>
      <c r="M19" s="2"/>
      <c r="N19" s="2"/>
      <c r="P19" s="2"/>
      <c r="Q19" s="2"/>
      <c r="R19" s="2"/>
      <c r="S19" s="2"/>
      <c r="W19" s="2"/>
      <c r="X19" s="2"/>
      <c r="Z19" s="2"/>
      <c r="AA19" s="2"/>
      <c r="AC19" s="2"/>
      <c r="AG19" s="2"/>
      <c r="AH19" s="2"/>
      <c r="AO19" s="2"/>
    </row>
    <row r="20" spans="1:41" ht="15.75" customHeight="1" x14ac:dyDescent="0.15">
      <c r="A20" s="1">
        <v>190000</v>
      </c>
      <c r="B20" s="2">
        <v>97392</v>
      </c>
      <c r="C20" s="2"/>
      <c r="D20" s="2"/>
      <c r="F20" s="2"/>
      <c r="G20" s="2"/>
      <c r="H20" s="2"/>
      <c r="I20" s="2"/>
      <c r="M20" s="2"/>
      <c r="N20" s="2"/>
      <c r="P20" s="2"/>
      <c r="Q20" s="2"/>
      <c r="S20" s="2"/>
      <c r="T20" s="2"/>
      <c r="U20" s="2"/>
      <c r="W20" s="2"/>
      <c r="X20" s="2"/>
      <c r="AA20" s="2"/>
      <c r="AC20" s="2"/>
      <c r="AE20" s="2"/>
      <c r="AG20" s="2"/>
      <c r="AH20" s="2"/>
      <c r="AO20" s="2"/>
    </row>
    <row r="21" spans="1:41" ht="15.75" customHeight="1" x14ac:dyDescent="0.15">
      <c r="A21" s="1">
        <v>200000</v>
      </c>
      <c r="B21" s="2">
        <v>665465</v>
      </c>
      <c r="C21" s="2"/>
      <c r="D21" s="2"/>
      <c r="F21" s="2"/>
      <c r="G21" s="2"/>
      <c r="H21" s="2"/>
      <c r="I21" s="2"/>
      <c r="K21" s="2"/>
      <c r="M21" s="2"/>
      <c r="N21" s="2"/>
      <c r="P21" s="2"/>
      <c r="Q21" s="2"/>
      <c r="R21" s="2"/>
      <c r="S21" s="2"/>
      <c r="T21" s="2"/>
      <c r="U21" s="2"/>
      <c r="W21" s="2"/>
      <c r="X21" s="2"/>
      <c r="Z21" s="2"/>
      <c r="AA21" s="2"/>
      <c r="AB21" s="2"/>
      <c r="AC21" s="2"/>
      <c r="AD21" s="2"/>
      <c r="AE21" s="2"/>
      <c r="AG21" s="2"/>
      <c r="AH21" s="2"/>
      <c r="AK21" s="2"/>
      <c r="AM21" s="2"/>
      <c r="AO21" s="2"/>
    </row>
    <row r="22" spans="1:41" ht="15.75" customHeight="1" x14ac:dyDescent="0.15">
      <c r="A22" s="1">
        <v>210000</v>
      </c>
      <c r="B22" s="2">
        <v>454941</v>
      </c>
      <c r="C22" s="2"/>
      <c r="D22" s="2"/>
      <c r="F22" s="2"/>
      <c r="G22" s="2"/>
      <c r="H22" s="2"/>
      <c r="I22" s="2"/>
      <c r="K22" s="2"/>
      <c r="M22" s="2"/>
      <c r="N22" s="2"/>
      <c r="P22" s="2"/>
      <c r="Q22" s="2"/>
      <c r="R22" s="2"/>
      <c r="S22" s="2"/>
      <c r="T22" s="2"/>
      <c r="U22" s="2"/>
      <c r="W22" s="2"/>
      <c r="X22" s="2"/>
      <c r="Z22" s="2"/>
      <c r="AA22" s="2"/>
      <c r="AB22" s="2"/>
      <c r="AC22" s="2"/>
      <c r="AD22" s="2"/>
      <c r="AE22" s="2"/>
      <c r="AG22" s="2"/>
      <c r="AH22" s="2"/>
      <c r="AM22" s="2"/>
      <c r="AO22" s="2"/>
    </row>
    <row r="23" spans="1:41" ht="15.75" customHeight="1" x14ac:dyDescent="0.15">
      <c r="A23" s="1">
        <v>220000</v>
      </c>
      <c r="B23" s="2">
        <v>321613</v>
      </c>
      <c r="C23" s="2"/>
      <c r="D23" s="2"/>
      <c r="F23" s="2"/>
      <c r="G23" s="2"/>
      <c r="H23" s="2"/>
      <c r="I23" s="2"/>
      <c r="K23" s="2"/>
      <c r="M23" s="2"/>
      <c r="N23" s="2"/>
      <c r="P23" s="2"/>
      <c r="Q23" s="2"/>
      <c r="R23" s="2"/>
      <c r="S23" s="2"/>
      <c r="T23" s="2"/>
      <c r="U23" s="2"/>
      <c r="W23" s="2"/>
      <c r="X23" s="2"/>
      <c r="Z23" s="2"/>
      <c r="AA23" s="2"/>
      <c r="AC23" s="2"/>
      <c r="AD23" s="2"/>
      <c r="AE23" s="2"/>
      <c r="AG23" s="2"/>
      <c r="AH23" s="2"/>
      <c r="AO23" s="2"/>
    </row>
    <row r="24" spans="1:41" ht="15.75" customHeight="1" x14ac:dyDescent="0.15">
      <c r="A24" s="1">
        <v>230000</v>
      </c>
      <c r="B24" s="2">
        <v>161903</v>
      </c>
      <c r="D24" s="2"/>
      <c r="F24" s="2"/>
      <c r="G24" s="2"/>
      <c r="H24" s="2"/>
      <c r="I24" s="2"/>
      <c r="M24" s="2"/>
      <c r="N24" s="2"/>
      <c r="P24" s="2"/>
      <c r="Q24" s="2"/>
      <c r="R24" s="2"/>
      <c r="S24" s="2"/>
      <c r="T24" s="2"/>
      <c r="W24" s="2"/>
      <c r="X24" s="2"/>
      <c r="Z24" s="2"/>
      <c r="AA24" s="2"/>
      <c r="AB24" s="2"/>
      <c r="AC24" s="2"/>
      <c r="AD24" s="2"/>
      <c r="AG24" s="2"/>
      <c r="AH24" s="2"/>
      <c r="AO24" s="2"/>
    </row>
    <row r="25" spans="1:41" ht="15.75" customHeight="1" x14ac:dyDescent="0.15">
      <c r="A25" s="1">
        <v>240000</v>
      </c>
      <c r="B25" s="2">
        <v>90571</v>
      </c>
      <c r="C25" s="2"/>
      <c r="D25" s="2"/>
      <c r="F25" s="2"/>
      <c r="G25" s="2"/>
      <c r="H25" s="2"/>
      <c r="I25" s="2"/>
      <c r="M25" s="2"/>
      <c r="N25" s="2"/>
      <c r="P25" s="2"/>
      <c r="Q25" s="2"/>
      <c r="R25" s="2"/>
      <c r="S25" s="2"/>
      <c r="W25" s="2"/>
      <c r="X25" s="2"/>
      <c r="AA25" s="2"/>
      <c r="AC25" s="2"/>
      <c r="AG25" s="2"/>
      <c r="AH25" s="2"/>
      <c r="AO25" s="2"/>
    </row>
    <row r="26" spans="1:41" ht="15.75" customHeight="1" x14ac:dyDescent="0.15">
      <c r="A26" s="1">
        <v>250000</v>
      </c>
      <c r="B26" s="2">
        <v>189783</v>
      </c>
      <c r="C26" s="2"/>
      <c r="D26" s="2"/>
      <c r="F26" s="2"/>
      <c r="G26" s="2"/>
      <c r="H26" s="2"/>
      <c r="I26" s="2"/>
      <c r="K26" s="2"/>
      <c r="M26" s="2"/>
      <c r="N26" s="2"/>
      <c r="P26" s="2"/>
      <c r="Q26" s="2"/>
      <c r="R26" s="2"/>
      <c r="S26" s="2"/>
      <c r="U26" s="2"/>
      <c r="W26" s="2"/>
      <c r="X26" s="2"/>
      <c r="Z26" s="2"/>
      <c r="AA26" s="2"/>
      <c r="AC26" s="2"/>
      <c r="AG26" s="2"/>
      <c r="AH26" s="2"/>
      <c r="AO26" s="2"/>
    </row>
    <row r="27" spans="1:41" ht="15.75" customHeight="1" x14ac:dyDescent="0.15">
      <c r="B27" s="2"/>
      <c r="D27" s="2"/>
      <c r="I27" s="2"/>
      <c r="M27" s="2"/>
      <c r="N27" s="2"/>
      <c r="Q27" s="2"/>
      <c r="S27" s="2"/>
      <c r="W27" s="2"/>
      <c r="X27" s="2"/>
      <c r="AG27" s="2"/>
      <c r="AO27" s="2"/>
    </row>
    <row r="28" spans="1:41" ht="15.75" customHeight="1" x14ac:dyDescent="0.15">
      <c r="B28" s="2"/>
      <c r="D28" s="2"/>
      <c r="N28" s="2"/>
      <c r="Q28" s="2"/>
      <c r="S28" s="2"/>
      <c r="W28" s="2"/>
      <c r="X28" s="2"/>
      <c r="AO28" s="2"/>
    </row>
    <row r="29" spans="1:41" ht="15.75" customHeight="1" x14ac:dyDescent="0.15">
      <c r="B29" s="2"/>
      <c r="AO29" s="2"/>
    </row>
    <row r="30" spans="1:41" ht="15.75" customHeight="1" x14ac:dyDescent="0.15">
      <c r="B30" s="2"/>
      <c r="AO30" s="2"/>
    </row>
    <row r="31" spans="1:41" ht="15.75" customHeight="1" x14ac:dyDescent="0.15">
      <c r="B31" s="2"/>
      <c r="AO31" s="2"/>
    </row>
    <row r="32" spans="1:41" ht="15.75" customHeight="1" x14ac:dyDescent="0.15">
      <c r="B32" s="2"/>
      <c r="AO32" s="2"/>
    </row>
    <row r="33" spans="2:41" ht="15.75" customHeight="1" x14ac:dyDescent="0.15">
      <c r="B33" s="2"/>
      <c r="AO33" s="2"/>
    </row>
    <row r="34" spans="2:41" ht="15.75" customHeight="1" x14ac:dyDescent="0.15">
      <c r="B34" s="2"/>
      <c r="AO34" s="2"/>
    </row>
    <row r="35" spans="2:41" ht="15.75" customHeight="1" x14ac:dyDescent="0.15">
      <c r="B35" s="2"/>
      <c r="AO35" s="2"/>
    </row>
    <row r="36" spans="2:41" ht="15.75" customHeight="1" x14ac:dyDescent="0.15">
      <c r="B36" s="2"/>
      <c r="AO36" s="2"/>
    </row>
    <row r="37" spans="2:41" ht="15.75" customHeight="1" x14ac:dyDescent="0.15">
      <c r="B37" s="2"/>
      <c r="AO37" s="2"/>
    </row>
    <row r="38" spans="2:41" ht="15.75" customHeight="1" x14ac:dyDescent="0.15">
      <c r="B38" s="2"/>
      <c r="AO38" s="2"/>
    </row>
    <row r="39" spans="2:41" ht="15.75" customHeight="1" x14ac:dyDescent="0.15">
      <c r="B39" s="2"/>
      <c r="AO39" s="2"/>
    </row>
    <row r="40" spans="2:41" ht="15.75" customHeight="1" x14ac:dyDescent="0.15">
      <c r="B40" s="2"/>
      <c r="AO40" s="2"/>
    </row>
    <row r="41" spans="2:41" ht="15.75" customHeight="1" x14ac:dyDescent="0.15">
      <c r="B41" s="2"/>
      <c r="AO41" s="2"/>
    </row>
    <row r="42" spans="2:41" ht="15.75" customHeight="1" x14ac:dyDescent="0.15">
      <c r="B42" s="2"/>
      <c r="AO42" s="2"/>
    </row>
    <row r="43" spans="2:41" ht="15.75" customHeight="1" x14ac:dyDescent="0.15">
      <c r="B43" s="2"/>
      <c r="AO43" s="2"/>
    </row>
    <row r="44" spans="2:41" ht="15.75" customHeight="1" x14ac:dyDescent="0.15">
      <c r="B44" s="2"/>
      <c r="AO44" s="2"/>
    </row>
    <row r="45" spans="2:41" ht="15.75" customHeight="1" x14ac:dyDescent="0.15">
      <c r="B45" s="2"/>
      <c r="AO45" s="2"/>
    </row>
    <row r="46" spans="2:41" ht="15.75" customHeight="1" x14ac:dyDescent="0.15">
      <c r="B46" s="2"/>
      <c r="AO46" s="2"/>
    </row>
    <row r="47" spans="2:41" ht="15.75" customHeight="1" x14ac:dyDescent="0.15">
      <c r="B47" s="2"/>
      <c r="AO47" s="2"/>
    </row>
    <row r="48" spans="2:41" ht="15.75" customHeight="1" x14ac:dyDescent="0.15">
      <c r="B48" s="2"/>
      <c r="AO48" s="2"/>
    </row>
    <row r="49" spans="2:41" ht="15.75" customHeight="1" x14ac:dyDescent="0.15">
      <c r="B49" s="2"/>
      <c r="C49" s="2"/>
      <c r="D49" s="2"/>
      <c r="M49" s="2"/>
      <c r="N49" s="2"/>
      <c r="Q49" s="2"/>
      <c r="S49" s="2"/>
      <c r="W49" s="2"/>
      <c r="X49" s="2"/>
      <c r="AO49" s="2"/>
    </row>
    <row r="50" spans="2:41" ht="15.75" customHeight="1" x14ac:dyDescent="0.15">
      <c r="B50" s="2"/>
      <c r="D50" s="2"/>
      <c r="N50" s="2"/>
      <c r="W50" s="2"/>
      <c r="X50" s="2"/>
      <c r="AO50" s="2"/>
    </row>
    <row r="51" spans="2:41" ht="15.75" customHeight="1" x14ac:dyDescent="0.15">
      <c r="B51" s="2"/>
      <c r="AO51" s="2"/>
    </row>
    <row r="52" spans="2:41" ht="15.75" customHeight="1" x14ac:dyDescent="0.15">
      <c r="B52" s="2"/>
      <c r="AO52" s="2"/>
    </row>
    <row r="53" spans="2:41" ht="13" x14ac:dyDescent="0.15">
      <c r="B53" s="2"/>
      <c r="AO53" s="2"/>
    </row>
    <row r="54" spans="2:41" ht="13" x14ac:dyDescent="0.15">
      <c r="B54" s="2"/>
      <c r="AO54" s="2"/>
    </row>
    <row r="55" spans="2:41" ht="13" x14ac:dyDescent="0.15">
      <c r="B55" s="2"/>
      <c r="AO55" s="2"/>
    </row>
    <row r="56" spans="2:41" ht="13" x14ac:dyDescent="0.15">
      <c r="B56" s="2"/>
      <c r="D56" s="2"/>
      <c r="M56" s="2"/>
      <c r="N56" s="2"/>
      <c r="W56" s="2"/>
      <c r="AO56" s="2"/>
    </row>
    <row r="57" spans="2:41" ht="13" x14ac:dyDescent="0.15">
      <c r="B57" s="2"/>
      <c r="AO57" s="2"/>
    </row>
    <row r="58" spans="2:41" ht="13" x14ac:dyDescent="0.15">
      <c r="B58" s="2"/>
      <c r="AO58" s="2"/>
    </row>
    <row r="59" spans="2:41" ht="13" x14ac:dyDescent="0.15">
      <c r="B59" s="2"/>
      <c r="AO59" s="2"/>
    </row>
    <row r="60" spans="2:41" ht="13" x14ac:dyDescent="0.15">
      <c r="B60" s="2"/>
      <c r="AO60" s="2"/>
    </row>
    <row r="61" spans="2:41" ht="13" x14ac:dyDescent="0.15">
      <c r="B61" s="2"/>
      <c r="AO61" s="2"/>
    </row>
    <row r="62" spans="2:41" ht="13" x14ac:dyDescent="0.15">
      <c r="B62" s="2"/>
      <c r="AO62" s="2"/>
    </row>
    <row r="63" spans="2:41" ht="13" x14ac:dyDescent="0.15">
      <c r="B63" s="2"/>
      <c r="AO63" s="2"/>
    </row>
    <row r="64" spans="2:41" ht="13" x14ac:dyDescent="0.15">
      <c r="B64" s="2"/>
      <c r="AO64" s="2"/>
    </row>
    <row r="65" spans="2:41" ht="13" x14ac:dyDescent="0.15">
      <c r="B65" s="2"/>
      <c r="AO65" s="2"/>
    </row>
    <row r="66" spans="2:41" ht="13" x14ac:dyDescent="0.15">
      <c r="B66" s="2"/>
      <c r="AO66" s="2"/>
    </row>
    <row r="67" spans="2:41" ht="13" x14ac:dyDescent="0.15">
      <c r="B67" s="2"/>
      <c r="AO67" s="2"/>
    </row>
    <row r="68" spans="2:41" ht="13" x14ac:dyDescent="0.15">
      <c r="B68" s="2"/>
      <c r="AO68" s="2"/>
    </row>
    <row r="69" spans="2:41" ht="13" x14ac:dyDescent="0.15">
      <c r="B69" s="2"/>
      <c r="D69" s="2"/>
      <c r="AO69" s="2"/>
    </row>
    <row r="70" spans="2:41" ht="13" x14ac:dyDescent="0.15">
      <c r="B70" s="2"/>
      <c r="AO70" s="2"/>
    </row>
    <row r="71" spans="2:41" ht="13" x14ac:dyDescent="0.15">
      <c r="B71" s="2"/>
      <c r="AO71" s="2"/>
    </row>
    <row r="72" spans="2:41" ht="13" x14ac:dyDescent="0.15">
      <c r="B72" s="2"/>
      <c r="AO72" s="2"/>
    </row>
    <row r="73" spans="2:41" ht="13" x14ac:dyDescent="0.15">
      <c r="B73" s="2"/>
      <c r="C73" s="2"/>
      <c r="D73" s="2"/>
      <c r="M73" s="2"/>
      <c r="N73" s="2"/>
      <c r="W73" s="2"/>
      <c r="AG73" s="2"/>
      <c r="AO73" s="2"/>
    </row>
    <row r="74" spans="2:41" ht="13" x14ac:dyDescent="0.15">
      <c r="B74" s="2"/>
      <c r="AO74" s="2"/>
    </row>
    <row r="75" spans="2:41" ht="13" x14ac:dyDescent="0.15">
      <c r="B75" s="2"/>
      <c r="AO75" s="2"/>
    </row>
    <row r="76" spans="2:41" ht="13" x14ac:dyDescent="0.15">
      <c r="B76" s="2"/>
      <c r="AO76" s="2"/>
    </row>
    <row r="77" spans="2:41" ht="13" x14ac:dyDescent="0.15">
      <c r="B77" s="2"/>
      <c r="AO77" s="2"/>
    </row>
    <row r="78" spans="2:41" ht="13" x14ac:dyDescent="0.15">
      <c r="B78" s="2"/>
      <c r="AO78" s="2"/>
    </row>
    <row r="79" spans="2:41" ht="13" x14ac:dyDescent="0.15">
      <c r="B79" s="2"/>
      <c r="AO79" s="2"/>
    </row>
    <row r="80" spans="2:41" ht="13" x14ac:dyDescent="0.15">
      <c r="B80" s="2"/>
      <c r="AO80" s="2"/>
    </row>
    <row r="81" spans="2:41" ht="13" x14ac:dyDescent="0.15">
      <c r="B81" s="2"/>
      <c r="AO81" s="2"/>
    </row>
    <row r="82" spans="2:41" ht="13" x14ac:dyDescent="0.15">
      <c r="B82" s="2"/>
      <c r="AO82" s="2"/>
    </row>
    <row r="83" spans="2:41" ht="13" x14ac:dyDescent="0.15">
      <c r="B83" s="2"/>
      <c r="AO83" s="2"/>
    </row>
    <row r="84" spans="2:41" ht="13" x14ac:dyDescent="0.15">
      <c r="B84" s="2"/>
      <c r="AO84" s="2"/>
    </row>
    <row r="85" spans="2:41" ht="13" x14ac:dyDescent="0.15">
      <c r="B85" s="2"/>
      <c r="AO85" s="2"/>
    </row>
    <row r="86" spans="2:41" ht="13" x14ac:dyDescent="0.15">
      <c r="B86" s="2"/>
      <c r="AO86" s="2"/>
    </row>
    <row r="87" spans="2:41" ht="13" x14ac:dyDescent="0.15">
      <c r="B87" s="2"/>
      <c r="AO87" s="2"/>
    </row>
    <row r="88" spans="2:41" ht="13" x14ac:dyDescent="0.15">
      <c r="B88" s="2"/>
      <c r="AO88" s="2"/>
    </row>
    <row r="89" spans="2:41" ht="13" x14ac:dyDescent="0.15">
      <c r="B89" s="2"/>
      <c r="AO89" s="2"/>
    </row>
    <row r="90" spans="2:41" ht="13" x14ac:dyDescent="0.15">
      <c r="B90" s="2"/>
      <c r="AO90" s="2"/>
    </row>
    <row r="91" spans="2:41" ht="13" x14ac:dyDescent="0.15">
      <c r="B91" s="2"/>
      <c r="AO91" s="2"/>
    </row>
    <row r="92" spans="2:41" ht="13" x14ac:dyDescent="0.15">
      <c r="B92" s="2"/>
      <c r="AO92" s="2"/>
    </row>
    <row r="93" spans="2:41" ht="13" x14ac:dyDescent="0.15">
      <c r="B93" s="2"/>
      <c r="AO93" s="2"/>
    </row>
    <row r="94" spans="2:41" ht="13" x14ac:dyDescent="0.15">
      <c r="B94" s="2"/>
      <c r="AO94" s="2"/>
    </row>
    <row r="95" spans="2:41" ht="13" x14ac:dyDescent="0.15">
      <c r="B95" s="2"/>
      <c r="AO95" s="2"/>
    </row>
    <row r="96" spans="2:41" ht="13" x14ac:dyDescent="0.15">
      <c r="B96" s="2"/>
      <c r="AO96" s="2"/>
    </row>
    <row r="97" spans="2:41" ht="13" x14ac:dyDescent="0.15">
      <c r="B97" s="2"/>
      <c r="D97" s="2"/>
      <c r="M97" s="2"/>
      <c r="N97" s="2"/>
      <c r="W97" s="2"/>
      <c r="AO97" s="2"/>
    </row>
    <row r="98" spans="2:41" ht="13" x14ac:dyDescent="0.15">
      <c r="B98" s="2"/>
      <c r="AO98" s="2"/>
    </row>
    <row r="99" spans="2:41" ht="13" x14ac:dyDescent="0.15">
      <c r="B99" s="2"/>
      <c r="AO99" s="2"/>
    </row>
    <row r="100" spans="2:41" ht="13" x14ac:dyDescent="0.15">
      <c r="B100" s="2"/>
      <c r="AO100" s="2"/>
    </row>
    <row r="101" spans="2:41" ht="13" x14ac:dyDescent="0.15">
      <c r="B101" s="2"/>
      <c r="AO101" s="2"/>
    </row>
    <row r="102" spans="2:41" ht="13" x14ac:dyDescent="0.15">
      <c r="B102" s="2"/>
      <c r="AO102" s="2"/>
    </row>
    <row r="103" spans="2:41" ht="13" x14ac:dyDescent="0.15">
      <c r="B103" s="2"/>
      <c r="AO103" s="2"/>
    </row>
    <row r="104" spans="2:41" ht="13" x14ac:dyDescent="0.15">
      <c r="B104" s="2"/>
      <c r="AO104" s="2"/>
    </row>
    <row r="105" spans="2:41" ht="13" x14ac:dyDescent="0.15">
      <c r="B105" s="2"/>
      <c r="AO105" s="2"/>
    </row>
    <row r="106" spans="2:41" ht="13" x14ac:dyDescent="0.15">
      <c r="B106" s="2"/>
      <c r="AO106" s="2"/>
    </row>
    <row r="107" spans="2:41" ht="13" x14ac:dyDescent="0.15">
      <c r="B107" s="2"/>
      <c r="AO107" s="2"/>
    </row>
    <row r="108" spans="2:41" ht="13" x14ac:dyDescent="0.15">
      <c r="B108" s="2"/>
      <c r="AO108" s="2"/>
    </row>
    <row r="109" spans="2:41" ht="13" x14ac:dyDescent="0.15">
      <c r="B109" s="2"/>
      <c r="AO109" s="2"/>
    </row>
    <row r="110" spans="2:41" ht="13" x14ac:dyDescent="0.15">
      <c r="B110" s="2"/>
      <c r="C110" s="2"/>
      <c r="D110" s="2"/>
      <c r="M110" s="2"/>
      <c r="N110" s="2"/>
      <c r="Q110" s="2"/>
      <c r="S110" s="2"/>
      <c r="W110" s="2"/>
      <c r="X110" s="2"/>
      <c r="AG110" s="2"/>
      <c r="AO110" s="2"/>
    </row>
    <row r="111" spans="2:41" ht="13" x14ac:dyDescent="0.15">
      <c r="B111" s="2"/>
      <c r="D111" s="2"/>
      <c r="M111" s="2"/>
      <c r="N111" s="2"/>
      <c r="W111" s="2"/>
      <c r="X111" s="2"/>
      <c r="AO111" s="2"/>
    </row>
    <row r="112" spans="2:41" ht="13" x14ac:dyDescent="0.15">
      <c r="B112" s="2"/>
      <c r="D112" s="2"/>
      <c r="M112" s="2"/>
      <c r="N112" s="2"/>
      <c r="W112" s="2"/>
      <c r="AO112" s="2"/>
    </row>
    <row r="113" spans="2:41" ht="13" x14ac:dyDescent="0.15">
      <c r="B113" s="2"/>
      <c r="AO113" s="2"/>
    </row>
    <row r="114" spans="2:41" ht="13" x14ac:dyDescent="0.15">
      <c r="B114" s="2"/>
      <c r="AO114" s="2"/>
    </row>
    <row r="115" spans="2:41" ht="13" x14ac:dyDescent="0.15">
      <c r="B115" s="2"/>
      <c r="AO115" s="2"/>
    </row>
    <row r="116" spans="2:41" ht="13" x14ac:dyDescent="0.15">
      <c r="B116" s="2"/>
      <c r="AO116" s="2"/>
    </row>
    <row r="117" spans="2:41" ht="13" x14ac:dyDescent="0.15">
      <c r="B117" s="2"/>
      <c r="AO117" s="2"/>
    </row>
    <row r="118" spans="2:41" ht="13" x14ac:dyDescent="0.15">
      <c r="B118" s="2"/>
      <c r="D118" s="2"/>
      <c r="G118" s="2"/>
      <c r="H118" s="2"/>
      <c r="I118" s="2"/>
      <c r="M118" s="2"/>
      <c r="N118" s="2"/>
      <c r="Q118" s="2"/>
      <c r="S118" s="2"/>
      <c r="T118" s="2"/>
      <c r="W118" s="2"/>
      <c r="X118" s="2"/>
      <c r="AA118" s="2"/>
      <c r="AC118" s="2"/>
      <c r="AG118" s="2"/>
      <c r="AO118" s="2"/>
    </row>
    <row r="119" spans="2:41" ht="13" x14ac:dyDescent="0.15">
      <c r="B119" s="2"/>
      <c r="D119" s="2"/>
      <c r="I119" s="2"/>
      <c r="N119" s="2"/>
      <c r="Q119" s="2"/>
      <c r="S119" s="2"/>
      <c r="W119" s="2"/>
      <c r="X119" s="2"/>
      <c r="AA119" s="2"/>
      <c r="AC119" s="2"/>
      <c r="AO119" s="2"/>
    </row>
    <row r="120" spans="2:41" ht="13" x14ac:dyDescent="0.15">
      <c r="B120" s="2"/>
      <c r="AO120" s="2"/>
    </row>
    <row r="121" spans="2:41" ht="13" x14ac:dyDescent="0.15">
      <c r="B121" s="2"/>
      <c r="AO121" s="2"/>
    </row>
    <row r="122" spans="2:41" ht="13" x14ac:dyDescent="0.15">
      <c r="B122" s="2"/>
      <c r="AO122" s="2"/>
    </row>
    <row r="123" spans="2:41" ht="13" x14ac:dyDescent="0.15">
      <c r="B123" s="2"/>
      <c r="D123" s="2"/>
      <c r="H123" s="2"/>
      <c r="I123" s="2"/>
      <c r="M123" s="2"/>
      <c r="N123" s="2"/>
      <c r="Q123" s="2"/>
      <c r="S123" s="2"/>
      <c r="W123" s="2"/>
      <c r="X123" s="2"/>
      <c r="AA123" s="2"/>
      <c r="AC123" s="2"/>
      <c r="AO123" s="2"/>
    </row>
    <row r="124" spans="2:41" ht="13" x14ac:dyDescent="0.15">
      <c r="B124" s="2"/>
      <c r="AO124" s="2"/>
    </row>
    <row r="125" spans="2:41" ht="13" x14ac:dyDescent="0.15">
      <c r="B125" s="2"/>
      <c r="AO125" s="2"/>
    </row>
    <row r="126" spans="2:41" ht="13" x14ac:dyDescent="0.15">
      <c r="B126" s="2"/>
      <c r="AO126" s="2"/>
    </row>
    <row r="127" spans="2:41" ht="13" x14ac:dyDescent="0.15">
      <c r="B127" s="2"/>
      <c r="AO127" s="2"/>
    </row>
    <row r="128" spans="2:41" ht="13" x14ac:dyDescent="0.15">
      <c r="B128" s="2"/>
      <c r="AO128" s="2"/>
    </row>
    <row r="129" spans="2:41" ht="13" x14ac:dyDescent="0.15">
      <c r="B129" s="2"/>
      <c r="AO129" s="2"/>
    </row>
    <row r="130" spans="2:41" ht="13" x14ac:dyDescent="0.15">
      <c r="B130" s="2"/>
      <c r="AO130" s="2"/>
    </row>
    <row r="131" spans="2:41" ht="13" x14ac:dyDescent="0.15">
      <c r="B131" s="2"/>
      <c r="AO131" s="2"/>
    </row>
    <row r="132" spans="2:41" ht="13" x14ac:dyDescent="0.15">
      <c r="B132" s="2"/>
      <c r="AO132" s="2"/>
    </row>
    <row r="133" spans="2:41" ht="13" x14ac:dyDescent="0.15">
      <c r="B133" s="2"/>
      <c r="AO133" s="2"/>
    </row>
    <row r="134" spans="2:41" ht="13" x14ac:dyDescent="0.15">
      <c r="B134" s="2"/>
      <c r="AO134" s="2"/>
    </row>
    <row r="135" spans="2:41" ht="13" x14ac:dyDescent="0.15">
      <c r="B135" s="2"/>
      <c r="AO135" s="2"/>
    </row>
    <row r="136" spans="2:41" ht="13" x14ac:dyDescent="0.15">
      <c r="B136" s="2"/>
      <c r="AO136" s="2"/>
    </row>
    <row r="137" spans="2:41" ht="13" x14ac:dyDescent="0.15">
      <c r="B137" s="2"/>
      <c r="AO137" s="2"/>
    </row>
    <row r="138" spans="2:41" ht="13" x14ac:dyDescent="0.15">
      <c r="B138" s="2"/>
      <c r="AO138" s="2"/>
    </row>
    <row r="139" spans="2:41" ht="13" x14ac:dyDescent="0.15">
      <c r="B139" s="2"/>
      <c r="AO139" s="2"/>
    </row>
    <row r="140" spans="2:41" ht="13" x14ac:dyDescent="0.15">
      <c r="B140" s="2"/>
      <c r="AO140" s="2"/>
    </row>
    <row r="141" spans="2:41" ht="13" x14ac:dyDescent="0.15">
      <c r="B141" s="2"/>
      <c r="AO141" s="2"/>
    </row>
    <row r="142" spans="2:41" ht="13" x14ac:dyDescent="0.15">
      <c r="B142" s="2"/>
      <c r="AO142" s="2"/>
    </row>
    <row r="143" spans="2:41" ht="13" x14ac:dyDescent="0.15">
      <c r="B143" s="2"/>
      <c r="AO143" s="2"/>
    </row>
    <row r="144" spans="2:41" ht="13" x14ac:dyDescent="0.15">
      <c r="B144" s="2"/>
      <c r="AO144" s="2"/>
    </row>
    <row r="145" spans="2:41" ht="13" x14ac:dyDescent="0.15">
      <c r="B145" s="2"/>
      <c r="AO145" s="2"/>
    </row>
    <row r="146" spans="2:41" ht="13" x14ac:dyDescent="0.15">
      <c r="B146" s="2"/>
      <c r="AO146" s="2"/>
    </row>
    <row r="147" spans="2:41" ht="13" x14ac:dyDescent="0.15">
      <c r="B147" s="2"/>
      <c r="D147" s="2"/>
      <c r="N147" s="2"/>
      <c r="W147" s="2"/>
      <c r="X147" s="2"/>
      <c r="AO147" s="2"/>
    </row>
    <row r="148" spans="2:41" ht="13" x14ac:dyDescent="0.15">
      <c r="B148" s="2"/>
      <c r="AO148" s="2"/>
    </row>
    <row r="149" spans="2:41" ht="13" x14ac:dyDescent="0.15">
      <c r="B149" s="2"/>
      <c r="AO149" s="2"/>
    </row>
    <row r="150" spans="2:41" ht="13" x14ac:dyDescent="0.15">
      <c r="B150" s="2"/>
      <c r="AO150" s="2"/>
    </row>
    <row r="151" spans="2:41" ht="13" x14ac:dyDescent="0.15">
      <c r="B151" s="2"/>
      <c r="AO151" s="2"/>
    </row>
    <row r="152" spans="2:41" ht="13" x14ac:dyDescent="0.15">
      <c r="B152" s="2"/>
      <c r="AO152" s="2"/>
    </row>
    <row r="153" spans="2:41" ht="13" x14ac:dyDescent="0.15">
      <c r="B153" s="2"/>
      <c r="AO153" s="2"/>
    </row>
    <row r="154" spans="2:41" ht="13" x14ac:dyDescent="0.15">
      <c r="B154" s="2"/>
      <c r="AO154" s="2"/>
    </row>
    <row r="155" spans="2:41" ht="13" x14ac:dyDescent="0.15">
      <c r="B155" s="2"/>
      <c r="AO155" s="2"/>
    </row>
    <row r="156" spans="2:41" ht="13" x14ac:dyDescent="0.15">
      <c r="B156" s="2"/>
      <c r="AO156" s="2"/>
    </row>
    <row r="157" spans="2:41" ht="13" x14ac:dyDescent="0.15">
      <c r="B157" s="2"/>
      <c r="AO157" s="2"/>
    </row>
    <row r="158" spans="2:41" ht="13" x14ac:dyDescent="0.15">
      <c r="B158" s="2"/>
      <c r="AO158" s="2"/>
    </row>
    <row r="159" spans="2:41" ht="13" x14ac:dyDescent="0.15">
      <c r="B159" s="2"/>
      <c r="AO159" s="2"/>
    </row>
    <row r="160" spans="2:41" ht="13" x14ac:dyDescent="0.15">
      <c r="B160" s="2"/>
      <c r="AO160" s="2"/>
    </row>
    <row r="161" spans="2:41" ht="13" x14ac:dyDescent="0.15">
      <c r="B161" s="2"/>
      <c r="AO161" s="2"/>
    </row>
    <row r="162" spans="2:41" ht="13" x14ac:dyDescent="0.15">
      <c r="B162" s="2"/>
      <c r="AO162" s="2"/>
    </row>
    <row r="163" spans="2:41" ht="13" x14ac:dyDescent="0.15">
      <c r="B163" s="2"/>
      <c r="D163" s="2"/>
      <c r="M163" s="2"/>
      <c r="N163" s="2"/>
      <c r="W163" s="2"/>
      <c r="AO163" s="2"/>
    </row>
    <row r="164" spans="2:41" ht="13" x14ac:dyDescent="0.15">
      <c r="B164" s="2"/>
      <c r="AO164" s="2"/>
    </row>
    <row r="165" spans="2:41" ht="13" x14ac:dyDescent="0.15">
      <c r="B165" s="2"/>
      <c r="AO165" s="2"/>
    </row>
    <row r="166" spans="2:41" ht="13" x14ac:dyDescent="0.15">
      <c r="B166" s="2"/>
      <c r="AO166" s="2"/>
    </row>
    <row r="167" spans="2:41" ht="13" x14ac:dyDescent="0.15">
      <c r="B167" s="2"/>
      <c r="AO167" s="2"/>
    </row>
    <row r="168" spans="2:41" ht="13" x14ac:dyDescent="0.15">
      <c r="B168" s="2"/>
      <c r="AO168" s="2"/>
    </row>
    <row r="169" spans="2:41" ht="13" x14ac:dyDescent="0.15">
      <c r="B169" s="2"/>
      <c r="AO169" s="2"/>
    </row>
    <row r="170" spans="2:41" ht="13" x14ac:dyDescent="0.15">
      <c r="B170" s="2"/>
      <c r="AO170" s="2"/>
    </row>
    <row r="171" spans="2:41" ht="13" x14ac:dyDescent="0.15">
      <c r="B171" s="2"/>
      <c r="AO171" s="2"/>
    </row>
    <row r="172" spans="2:41" ht="13" x14ac:dyDescent="0.15">
      <c r="B172" s="2"/>
      <c r="AO172" s="2"/>
    </row>
    <row r="173" spans="2:41" ht="13" x14ac:dyDescent="0.15">
      <c r="B173" s="2"/>
      <c r="AO173" s="2"/>
    </row>
    <row r="174" spans="2:41" ht="13" x14ac:dyDescent="0.15">
      <c r="B174" s="2"/>
      <c r="AO174" s="2"/>
    </row>
    <row r="175" spans="2:41" ht="13" x14ac:dyDescent="0.15">
      <c r="B175" s="2"/>
      <c r="AO175" s="2"/>
    </row>
    <row r="176" spans="2:41" ht="13" x14ac:dyDescent="0.15">
      <c r="B176" s="2"/>
      <c r="AO176" s="2"/>
    </row>
    <row r="177" spans="2:41" ht="13" x14ac:dyDescent="0.15">
      <c r="B177" s="2"/>
      <c r="AO177" s="2"/>
    </row>
    <row r="178" spans="2:41" ht="13" x14ac:dyDescent="0.15">
      <c r="B178" s="2"/>
      <c r="AO178" s="2"/>
    </row>
    <row r="179" spans="2:41" ht="13" x14ac:dyDescent="0.15">
      <c r="B179" s="2"/>
      <c r="D179" s="2"/>
      <c r="M179" s="2"/>
      <c r="N179" s="2"/>
      <c r="W179" s="2"/>
      <c r="X179" s="2"/>
      <c r="AO179" s="2"/>
    </row>
    <row r="180" spans="2:41" ht="13" x14ac:dyDescent="0.15">
      <c r="B180" s="2"/>
      <c r="D180" s="2"/>
      <c r="N180" s="2"/>
      <c r="W180" s="2"/>
      <c r="X180" s="2"/>
      <c r="AO180" s="2"/>
    </row>
    <row r="181" spans="2:41" ht="13" x14ac:dyDescent="0.15">
      <c r="B181" s="2"/>
      <c r="AO181" s="2"/>
    </row>
    <row r="182" spans="2:41" ht="13" x14ac:dyDescent="0.15">
      <c r="B182" s="2"/>
      <c r="AO182" s="2"/>
    </row>
    <row r="183" spans="2:41" ht="13" x14ac:dyDescent="0.15">
      <c r="B183" s="2"/>
      <c r="AO183" s="2"/>
    </row>
    <row r="184" spans="2:41" ht="13" x14ac:dyDescent="0.15">
      <c r="B184" s="2"/>
      <c r="AO184" s="2"/>
    </row>
    <row r="185" spans="2:41" ht="13" x14ac:dyDescent="0.15">
      <c r="B185" s="2"/>
      <c r="AO185" s="2"/>
    </row>
    <row r="186" spans="2:41" ht="13" x14ac:dyDescent="0.15">
      <c r="B186" s="2"/>
      <c r="AO186" s="2"/>
    </row>
    <row r="187" spans="2:41" ht="13" x14ac:dyDescent="0.15">
      <c r="B187" s="2"/>
      <c r="AO187" s="2"/>
    </row>
    <row r="188" spans="2:41" ht="13" x14ac:dyDescent="0.15">
      <c r="B188" s="2"/>
      <c r="AO188" s="2"/>
    </row>
    <row r="189" spans="2:41" ht="13" x14ac:dyDescent="0.15">
      <c r="B189" s="2"/>
      <c r="AO189" s="2"/>
    </row>
    <row r="190" spans="2:41" ht="13" x14ac:dyDescent="0.15">
      <c r="B190" s="2"/>
      <c r="AO190" s="2"/>
    </row>
    <row r="191" spans="2:41" ht="13" x14ac:dyDescent="0.15">
      <c r="B191" s="2"/>
      <c r="AO191" s="2"/>
    </row>
    <row r="192" spans="2:41" ht="13" x14ac:dyDescent="0.15">
      <c r="B192" s="2"/>
      <c r="D192" s="2"/>
      <c r="N192" s="2"/>
      <c r="Q192" s="2"/>
      <c r="W192" s="2"/>
      <c r="X192" s="2"/>
      <c r="AO192" s="2"/>
    </row>
    <row r="193" spans="2:41" ht="13" x14ac:dyDescent="0.15">
      <c r="B193" s="2"/>
      <c r="AO193" s="2"/>
    </row>
    <row r="194" spans="2:41" ht="13" x14ac:dyDescent="0.15">
      <c r="B194" s="2"/>
      <c r="AO194" s="2"/>
    </row>
    <row r="195" spans="2:41" ht="13" x14ac:dyDescent="0.15">
      <c r="B195" s="2"/>
      <c r="AO195" s="2"/>
    </row>
    <row r="196" spans="2:41" ht="13" x14ac:dyDescent="0.15">
      <c r="B196" s="2"/>
      <c r="AO196" s="2"/>
    </row>
    <row r="197" spans="2:41" ht="13" x14ac:dyDescent="0.15">
      <c r="B197" s="2"/>
      <c r="AO197" s="2"/>
    </row>
    <row r="198" spans="2:41" ht="13" x14ac:dyDescent="0.15">
      <c r="B198" s="2"/>
      <c r="AO198" s="2"/>
    </row>
    <row r="199" spans="2:41" ht="13" x14ac:dyDescent="0.15">
      <c r="B199" s="2"/>
      <c r="AO199" s="2"/>
    </row>
    <row r="200" spans="2:41" ht="13" x14ac:dyDescent="0.15">
      <c r="B200" s="2"/>
      <c r="AO200" s="2"/>
    </row>
    <row r="201" spans="2:41" ht="13" x14ac:dyDescent="0.15">
      <c r="B201" s="2"/>
      <c r="AO201" s="2"/>
    </row>
    <row r="202" spans="2:41" ht="13" x14ac:dyDescent="0.15">
      <c r="B202" s="2"/>
      <c r="AO202" s="2"/>
    </row>
    <row r="203" spans="2:41" ht="13" x14ac:dyDescent="0.15">
      <c r="B203" s="2"/>
      <c r="AO203" s="2"/>
    </row>
    <row r="204" spans="2:41" ht="13" x14ac:dyDescent="0.15">
      <c r="B204" s="2"/>
      <c r="AO204" s="2"/>
    </row>
    <row r="205" spans="2:41" ht="13" x14ac:dyDescent="0.15">
      <c r="B205" s="2"/>
      <c r="AO205" s="2"/>
    </row>
    <row r="206" spans="2:41" ht="13" x14ac:dyDescent="0.15">
      <c r="B206" s="2"/>
      <c r="N206" s="2"/>
      <c r="AO206" s="2"/>
    </row>
    <row r="207" spans="2:41" ht="13" x14ac:dyDescent="0.15">
      <c r="B207" s="2"/>
      <c r="AO207" s="2"/>
    </row>
    <row r="208" spans="2:41" ht="13" x14ac:dyDescent="0.15">
      <c r="B208" s="2"/>
      <c r="AO208" s="2"/>
    </row>
    <row r="209" spans="2:41" ht="13" x14ac:dyDescent="0.15">
      <c r="B209" s="2"/>
      <c r="D209" s="2"/>
      <c r="N209" s="2"/>
      <c r="X209" s="2"/>
      <c r="AO209" s="2"/>
    </row>
    <row r="210" spans="2:41" ht="13" x14ac:dyDescent="0.15">
      <c r="B210" s="2"/>
      <c r="D210" s="2"/>
      <c r="N210" s="2"/>
      <c r="X210" s="2"/>
      <c r="AO210" s="2"/>
    </row>
    <row r="211" spans="2:41" ht="13" x14ac:dyDescent="0.15">
      <c r="B211" s="2"/>
      <c r="AO211" s="2"/>
    </row>
    <row r="212" spans="2:41" ht="13" x14ac:dyDescent="0.15">
      <c r="B212" s="2"/>
      <c r="AO212" s="2"/>
    </row>
    <row r="213" spans="2:41" ht="13" x14ac:dyDescent="0.15">
      <c r="B213" s="2"/>
      <c r="AO213" s="2"/>
    </row>
    <row r="214" spans="2:41" ht="13" x14ac:dyDescent="0.15">
      <c r="B214" s="2"/>
      <c r="AO214" s="2"/>
    </row>
    <row r="215" spans="2:41" ht="13" x14ac:dyDescent="0.15">
      <c r="B215" s="2"/>
      <c r="C215" s="2"/>
      <c r="D215" s="2"/>
      <c r="M215" s="2"/>
      <c r="N215" s="2"/>
      <c r="W215" s="2"/>
      <c r="X215" s="2"/>
      <c r="AO215" s="2"/>
    </row>
    <row r="216" spans="2:41" ht="13" x14ac:dyDescent="0.15">
      <c r="B216" s="2"/>
      <c r="D216" s="2"/>
      <c r="W216" s="2"/>
      <c r="AO216" s="2"/>
    </row>
    <row r="217" spans="2:41" ht="13" x14ac:dyDescent="0.15">
      <c r="B217" s="2"/>
      <c r="AO217" s="2"/>
    </row>
    <row r="218" spans="2:41" ht="13" x14ac:dyDescent="0.15">
      <c r="B218" s="2"/>
      <c r="AO218" s="2"/>
    </row>
    <row r="219" spans="2:41" ht="13" x14ac:dyDescent="0.15">
      <c r="B219" s="2"/>
      <c r="AO219" s="2"/>
    </row>
    <row r="220" spans="2:41" ht="13" x14ac:dyDescent="0.15">
      <c r="B220" s="2"/>
      <c r="AO220" s="2"/>
    </row>
    <row r="221" spans="2:41" ht="13" x14ac:dyDescent="0.15">
      <c r="B221" s="2"/>
      <c r="AO221" s="2"/>
    </row>
    <row r="222" spans="2:41" ht="13" x14ac:dyDescent="0.15">
      <c r="B222" s="2"/>
      <c r="AO222" s="2"/>
    </row>
    <row r="223" spans="2:41" ht="13" x14ac:dyDescent="0.15">
      <c r="B223" s="2"/>
      <c r="AO223" s="2"/>
    </row>
    <row r="224" spans="2:41" ht="13" x14ac:dyDescent="0.15">
      <c r="B224" s="2"/>
      <c r="AO224" s="2"/>
    </row>
    <row r="225" spans="2:41" ht="13" x14ac:dyDescent="0.15">
      <c r="B225" s="2"/>
      <c r="AO225" s="2"/>
    </row>
    <row r="226" spans="2:41" ht="13" x14ac:dyDescent="0.15">
      <c r="B226" s="2"/>
      <c r="AO226" s="2"/>
    </row>
    <row r="227" spans="2:41" ht="13" x14ac:dyDescent="0.15">
      <c r="B227" s="2"/>
      <c r="AO227" s="2"/>
    </row>
    <row r="228" spans="2:41" ht="13" x14ac:dyDescent="0.15">
      <c r="B228" s="2"/>
      <c r="AO228" s="2"/>
    </row>
    <row r="229" spans="2:41" ht="13" x14ac:dyDescent="0.15">
      <c r="B229" s="2"/>
      <c r="AO229" s="2"/>
    </row>
    <row r="230" spans="2:41" ht="13" x14ac:dyDescent="0.15">
      <c r="B230" s="2"/>
      <c r="AO230" s="2"/>
    </row>
    <row r="231" spans="2:41" ht="13" x14ac:dyDescent="0.15">
      <c r="B231" s="2"/>
      <c r="AO231" s="2"/>
    </row>
    <row r="232" spans="2:41" ht="13" x14ac:dyDescent="0.15">
      <c r="B232" s="2"/>
      <c r="AO232" s="2"/>
    </row>
    <row r="233" spans="2:41" ht="13" x14ac:dyDescent="0.15">
      <c r="B233" s="2"/>
      <c r="AO233" s="2"/>
    </row>
    <row r="234" spans="2:41" ht="13" x14ac:dyDescent="0.15">
      <c r="B234" s="2"/>
      <c r="AO234" s="2"/>
    </row>
    <row r="235" spans="2:41" ht="13" x14ac:dyDescent="0.15">
      <c r="B235" s="2"/>
      <c r="AO235" s="2"/>
    </row>
    <row r="236" spans="2:41" ht="13" x14ac:dyDescent="0.15">
      <c r="B236" s="2"/>
      <c r="AO236" s="2"/>
    </row>
    <row r="237" spans="2:41" ht="13" x14ac:dyDescent="0.15">
      <c r="B237" s="2"/>
      <c r="AO237" s="2"/>
    </row>
    <row r="238" spans="2:41" ht="13" x14ac:dyDescent="0.15">
      <c r="B238" s="2"/>
      <c r="AO238" s="2"/>
    </row>
    <row r="239" spans="2:41" ht="13" x14ac:dyDescent="0.15">
      <c r="B239" s="2"/>
      <c r="AO239" s="2"/>
    </row>
    <row r="240" spans="2:41" ht="13" x14ac:dyDescent="0.15">
      <c r="B240" s="2"/>
      <c r="AO240" s="2"/>
    </row>
    <row r="241" spans="2:41" ht="13" x14ac:dyDescent="0.15">
      <c r="B241" s="2"/>
      <c r="AO241" s="2"/>
    </row>
    <row r="242" spans="2:41" ht="13" x14ac:dyDescent="0.15">
      <c r="B242" s="2"/>
      <c r="AO242" s="2"/>
    </row>
    <row r="243" spans="2:41" ht="13" x14ac:dyDescent="0.15">
      <c r="B243" s="2"/>
      <c r="AO243" s="2"/>
    </row>
    <row r="244" spans="2:41" ht="13" x14ac:dyDescent="0.15">
      <c r="B244" s="2"/>
      <c r="AO244" s="2"/>
    </row>
    <row r="245" spans="2:41" ht="13" x14ac:dyDescent="0.15">
      <c r="B245" s="2"/>
      <c r="AO245" s="2"/>
    </row>
    <row r="246" spans="2:41" ht="13" x14ac:dyDescent="0.15">
      <c r="B246" s="2"/>
      <c r="W246" s="2"/>
      <c r="AO246" s="2"/>
    </row>
    <row r="247" spans="2:41" ht="13" x14ac:dyDescent="0.15">
      <c r="B247" s="2"/>
      <c r="AO247" s="2"/>
    </row>
    <row r="248" spans="2:41" ht="13" x14ac:dyDescent="0.15">
      <c r="B248" s="2"/>
      <c r="AO248" s="2"/>
    </row>
    <row r="249" spans="2:41" ht="13" x14ac:dyDescent="0.15">
      <c r="B249" s="2"/>
      <c r="AO249" s="2"/>
    </row>
    <row r="250" spans="2:41" ht="13" x14ac:dyDescent="0.15">
      <c r="B250" s="2"/>
      <c r="AO250" s="2"/>
    </row>
    <row r="251" spans="2:41" ht="13" x14ac:dyDescent="0.15">
      <c r="B251" s="2"/>
      <c r="AO251" s="2"/>
    </row>
    <row r="252" spans="2:41" ht="13" x14ac:dyDescent="0.15">
      <c r="B252" s="2"/>
      <c r="AO252" s="2"/>
    </row>
    <row r="253" spans="2:41" ht="13" x14ac:dyDescent="0.15">
      <c r="B253" s="2"/>
      <c r="AO253" s="2"/>
    </row>
    <row r="254" spans="2:41" ht="13" x14ac:dyDescent="0.15">
      <c r="B254" s="2"/>
      <c r="AO254" s="2"/>
    </row>
    <row r="255" spans="2:41" ht="13" x14ac:dyDescent="0.15">
      <c r="B255" s="2"/>
      <c r="AO255" s="2"/>
    </row>
    <row r="256" spans="2:41" ht="13" x14ac:dyDescent="0.15">
      <c r="B256" s="2"/>
      <c r="AO256" s="2"/>
    </row>
    <row r="257" spans="2:41" ht="13" x14ac:dyDescent="0.15">
      <c r="B257" s="2"/>
      <c r="AO257" s="2"/>
    </row>
    <row r="258" spans="2:41" ht="13" x14ac:dyDescent="0.15">
      <c r="B258" s="2"/>
      <c r="AO258" s="2"/>
    </row>
    <row r="259" spans="2:41" ht="13" x14ac:dyDescent="0.15">
      <c r="B259" s="2"/>
      <c r="AO259" s="2"/>
    </row>
    <row r="260" spans="2:41" ht="13" x14ac:dyDescent="0.15">
      <c r="B260" s="2"/>
      <c r="AO260" s="2"/>
    </row>
    <row r="261" spans="2:41" ht="13" x14ac:dyDescent="0.15">
      <c r="B261" s="2"/>
      <c r="AO261" s="2"/>
    </row>
    <row r="262" spans="2:41" ht="13" x14ac:dyDescent="0.15">
      <c r="B262" s="2"/>
      <c r="AO262" s="2"/>
    </row>
    <row r="263" spans="2:41" ht="13" x14ac:dyDescent="0.15">
      <c r="B263" s="2"/>
      <c r="AO263" s="2"/>
    </row>
    <row r="264" spans="2:41" ht="13" x14ac:dyDescent="0.15">
      <c r="B264" s="2"/>
      <c r="AO264" s="2"/>
    </row>
    <row r="265" spans="2:41" ht="13" x14ac:dyDescent="0.15">
      <c r="B265" s="2"/>
      <c r="AO265" s="2"/>
    </row>
    <row r="266" spans="2:41" ht="13" x14ac:dyDescent="0.15">
      <c r="B266" s="2"/>
      <c r="AO266" s="2"/>
    </row>
    <row r="267" spans="2:41" ht="13" x14ac:dyDescent="0.15">
      <c r="B267" s="2"/>
      <c r="AO267" s="2"/>
    </row>
    <row r="268" spans="2:41" ht="13" x14ac:dyDescent="0.15">
      <c r="B268" s="2"/>
      <c r="AO268" s="2"/>
    </row>
    <row r="269" spans="2:41" ht="13" x14ac:dyDescent="0.15">
      <c r="B269" s="2"/>
      <c r="AO269" s="2"/>
    </row>
    <row r="270" spans="2:41" ht="13" x14ac:dyDescent="0.15">
      <c r="B270" s="2"/>
      <c r="AO270" s="2"/>
    </row>
    <row r="271" spans="2:41" ht="13" x14ac:dyDescent="0.15">
      <c r="B271" s="2"/>
      <c r="AO271" s="2"/>
    </row>
    <row r="272" spans="2:41" ht="13" x14ac:dyDescent="0.15">
      <c r="B272" s="2"/>
      <c r="AO272" s="2"/>
    </row>
    <row r="273" spans="2:41" ht="13" x14ac:dyDescent="0.15">
      <c r="B273" s="2"/>
      <c r="AO273" s="2"/>
    </row>
    <row r="274" spans="2:41" ht="13" x14ac:dyDescent="0.15">
      <c r="B274" s="2"/>
      <c r="C274" s="2"/>
      <c r="D274" s="2"/>
      <c r="F274" s="2"/>
      <c r="G274" s="2"/>
      <c r="H274" s="2"/>
      <c r="I274" s="2"/>
      <c r="M274" s="2"/>
      <c r="N274" s="2"/>
      <c r="P274" s="2"/>
      <c r="Q274" s="2"/>
      <c r="R274" s="2"/>
      <c r="S274" s="2"/>
      <c r="T274" s="2"/>
      <c r="U274" s="2"/>
      <c r="W274" s="2"/>
      <c r="X274" s="2"/>
      <c r="Z274" s="2"/>
      <c r="AA274" s="2"/>
      <c r="AB274" s="2"/>
      <c r="AC274" s="2"/>
      <c r="AD274" s="2"/>
      <c r="AG274" s="2"/>
      <c r="AH274" s="2"/>
      <c r="AO274" s="2"/>
    </row>
    <row r="275" spans="2:41" ht="13" x14ac:dyDescent="0.15">
      <c r="B275" s="2"/>
      <c r="C275" s="2"/>
      <c r="D275" s="2"/>
      <c r="F275" s="2"/>
      <c r="G275" s="2"/>
      <c r="H275" s="2"/>
      <c r="I275" s="2"/>
      <c r="M275" s="2"/>
      <c r="N275" s="2"/>
      <c r="P275" s="2"/>
      <c r="Q275" s="2"/>
      <c r="R275" s="2"/>
      <c r="S275" s="2"/>
      <c r="W275" s="2"/>
      <c r="X275" s="2"/>
      <c r="AA275" s="2"/>
      <c r="AC275" s="2"/>
      <c r="AG275" s="2"/>
      <c r="AH275" s="2"/>
      <c r="AO275" s="2"/>
    </row>
    <row r="276" spans="2:41" ht="13" x14ac:dyDescent="0.15">
      <c r="B276" s="2"/>
      <c r="AO276" s="2"/>
    </row>
    <row r="277" spans="2:41" ht="13" x14ac:dyDescent="0.15">
      <c r="B277" s="2"/>
      <c r="N277" s="2"/>
      <c r="AO277" s="2"/>
    </row>
    <row r="278" spans="2:41" ht="13" x14ac:dyDescent="0.15">
      <c r="B278" s="2"/>
      <c r="AO278" s="2"/>
    </row>
    <row r="279" spans="2:41" ht="13" x14ac:dyDescent="0.15">
      <c r="B279" s="2"/>
      <c r="AO279" s="2"/>
    </row>
    <row r="280" spans="2:41" ht="13" x14ac:dyDescent="0.15">
      <c r="B280" s="2"/>
      <c r="AO280" s="2"/>
    </row>
    <row r="281" spans="2:41" ht="13" x14ac:dyDescent="0.15">
      <c r="B281" s="2"/>
      <c r="AO281" s="2"/>
    </row>
    <row r="282" spans="2:41" ht="13" x14ac:dyDescent="0.15">
      <c r="B282" s="2"/>
      <c r="D282" s="2"/>
      <c r="N282" s="2"/>
      <c r="X282" s="2"/>
      <c r="AO282" s="2"/>
    </row>
    <row r="283" spans="2:41" ht="13" x14ac:dyDescent="0.15">
      <c r="B283" s="2"/>
      <c r="D283" s="2"/>
      <c r="F283" s="2"/>
      <c r="G283" s="2"/>
      <c r="H283" s="2"/>
      <c r="I283" s="2"/>
      <c r="M283" s="2"/>
      <c r="N283" s="2"/>
      <c r="P283" s="2"/>
      <c r="Q283" s="2"/>
      <c r="R283" s="2"/>
      <c r="S283" s="2"/>
      <c r="W283" s="2"/>
      <c r="X283" s="2"/>
      <c r="AA283" s="2"/>
      <c r="AC283" s="2"/>
      <c r="AG283" s="2"/>
      <c r="AO283" s="2"/>
    </row>
    <row r="284" spans="2:41" ht="13" x14ac:dyDescent="0.15">
      <c r="B284" s="2"/>
      <c r="AO284" s="2"/>
    </row>
    <row r="285" spans="2:41" ht="13" x14ac:dyDescent="0.15">
      <c r="B285" s="2"/>
      <c r="AO285" s="2"/>
    </row>
    <row r="286" spans="2:41" ht="13" x14ac:dyDescent="0.15">
      <c r="B286" s="2"/>
      <c r="AO286" s="2"/>
    </row>
    <row r="287" spans="2:41" ht="13" x14ac:dyDescent="0.15">
      <c r="B287" s="2"/>
      <c r="AO287" s="2"/>
    </row>
    <row r="288" spans="2:41" ht="13" x14ac:dyDescent="0.15">
      <c r="B288" s="2"/>
      <c r="AO288" s="2"/>
    </row>
    <row r="289" spans="2:41" ht="13" x14ac:dyDescent="0.15">
      <c r="B289" s="2"/>
      <c r="AO289" s="2"/>
    </row>
    <row r="290" spans="2:41" ht="13" x14ac:dyDescent="0.15">
      <c r="B290" s="2"/>
      <c r="AO290" s="2"/>
    </row>
    <row r="291" spans="2:41" ht="13" x14ac:dyDescent="0.15">
      <c r="B291" s="2"/>
      <c r="AO291" s="2"/>
    </row>
    <row r="292" spans="2:41" ht="13" x14ac:dyDescent="0.15">
      <c r="B292" s="2"/>
      <c r="AO292" s="2"/>
    </row>
    <row r="293" spans="2:41" ht="13" x14ac:dyDescent="0.15">
      <c r="B293" s="2"/>
      <c r="AO293" s="2"/>
    </row>
    <row r="294" spans="2:41" ht="13" x14ac:dyDescent="0.15">
      <c r="B294" s="2"/>
      <c r="AO294" s="2"/>
    </row>
    <row r="295" spans="2:41" ht="13" x14ac:dyDescent="0.15">
      <c r="B295" s="2"/>
      <c r="D295" s="2"/>
      <c r="M295" s="2"/>
      <c r="N295" s="2"/>
      <c r="W295" s="2"/>
      <c r="AO295" s="2"/>
    </row>
    <row r="296" spans="2:41" ht="13" x14ac:dyDescent="0.15">
      <c r="B296" s="2"/>
      <c r="W296" s="2"/>
      <c r="AO296" s="2"/>
    </row>
    <row r="297" spans="2:41" ht="13" x14ac:dyDescent="0.15">
      <c r="B297" s="2"/>
      <c r="AO297" s="2"/>
    </row>
    <row r="298" spans="2:41" ht="13" x14ac:dyDescent="0.15">
      <c r="B298" s="2"/>
      <c r="AO298" s="2"/>
    </row>
    <row r="299" spans="2:41" ht="13" x14ac:dyDescent="0.15">
      <c r="B299" s="2"/>
      <c r="AO299" s="2"/>
    </row>
    <row r="300" spans="2:41" ht="13" x14ac:dyDescent="0.15">
      <c r="B300" s="2"/>
      <c r="AO300" s="2"/>
    </row>
    <row r="301" spans="2:41" ht="13" x14ac:dyDescent="0.15">
      <c r="B301" s="2"/>
      <c r="AO301" s="2"/>
    </row>
    <row r="302" spans="2:41" ht="13" x14ac:dyDescent="0.15">
      <c r="B302" s="2"/>
      <c r="AO302" s="2"/>
    </row>
    <row r="303" spans="2:41" ht="13" x14ac:dyDescent="0.15">
      <c r="B303" s="2"/>
      <c r="AO303" s="2"/>
    </row>
    <row r="304" spans="2:41" ht="13" x14ac:dyDescent="0.15">
      <c r="B304" s="2"/>
      <c r="D304" s="2"/>
      <c r="G304" s="2"/>
      <c r="H304" s="2"/>
      <c r="I304" s="2"/>
      <c r="M304" s="2"/>
      <c r="N304" s="2"/>
      <c r="Q304" s="2"/>
      <c r="S304" s="2"/>
      <c r="W304" s="2"/>
      <c r="X304" s="2"/>
      <c r="AA304" s="2"/>
      <c r="AC304" s="2"/>
      <c r="AG304" s="2"/>
      <c r="AO304" s="2"/>
    </row>
    <row r="305" spans="2:41" ht="13" x14ac:dyDescent="0.15">
      <c r="B305" s="2"/>
      <c r="D305" s="2"/>
      <c r="G305" s="2"/>
      <c r="H305" s="2"/>
      <c r="I305" s="2"/>
      <c r="N305" s="2"/>
      <c r="Q305" s="2"/>
      <c r="S305" s="2"/>
      <c r="W305" s="2"/>
      <c r="X305" s="2"/>
      <c r="AC305" s="2"/>
      <c r="AO305" s="2"/>
    </row>
    <row r="306" spans="2:41" ht="13" x14ac:dyDescent="0.15">
      <c r="B306" s="2"/>
      <c r="AO306" s="2"/>
    </row>
    <row r="307" spans="2:41" ht="13" x14ac:dyDescent="0.15">
      <c r="B307" s="2"/>
      <c r="AO307" s="2"/>
    </row>
    <row r="308" spans="2:41" ht="13" x14ac:dyDescent="0.15">
      <c r="B308" s="2"/>
      <c r="AO308" s="2"/>
    </row>
    <row r="309" spans="2:41" ht="13" x14ac:dyDescent="0.15">
      <c r="B309" s="2"/>
      <c r="AO309" s="2"/>
    </row>
    <row r="310" spans="2:41" ht="13" x14ac:dyDescent="0.15">
      <c r="B310" s="2"/>
      <c r="AO310" s="2"/>
    </row>
    <row r="311" spans="2:41" ht="13" x14ac:dyDescent="0.15">
      <c r="B311" s="2"/>
      <c r="AO311" s="2"/>
    </row>
    <row r="312" spans="2:41" ht="13" x14ac:dyDescent="0.15">
      <c r="B312" s="2"/>
      <c r="AO312" s="2"/>
    </row>
    <row r="313" spans="2:41" ht="13" x14ac:dyDescent="0.15">
      <c r="B313" s="2"/>
      <c r="AO313" s="2"/>
    </row>
    <row r="314" spans="2:41" ht="13" x14ac:dyDescent="0.15">
      <c r="B314" s="2"/>
      <c r="D314" s="2"/>
      <c r="G314" s="2"/>
      <c r="H314" s="2"/>
      <c r="I314" s="2"/>
      <c r="M314" s="2"/>
      <c r="N314" s="2"/>
      <c r="Q314" s="2"/>
      <c r="S314" s="2"/>
      <c r="U314" s="2"/>
      <c r="W314" s="2"/>
      <c r="X314" s="2"/>
      <c r="AC314" s="2"/>
      <c r="AE314" s="2"/>
      <c r="AG314" s="2"/>
      <c r="AO314" s="2"/>
    </row>
    <row r="315" spans="2:41" ht="13" x14ac:dyDescent="0.15">
      <c r="B315" s="2"/>
      <c r="D315" s="2"/>
      <c r="M315" s="2"/>
      <c r="N315" s="2"/>
      <c r="S315" s="2"/>
      <c r="W315" s="2"/>
      <c r="X315" s="2"/>
      <c r="AO315" s="2"/>
    </row>
    <row r="316" spans="2:41" ht="13" x14ac:dyDescent="0.15">
      <c r="B316" s="2"/>
      <c r="AO316" s="2"/>
    </row>
    <row r="317" spans="2:41" ht="13" x14ac:dyDescent="0.15">
      <c r="B317" s="2"/>
      <c r="AO317" s="2"/>
    </row>
    <row r="318" spans="2:41" ht="13" x14ac:dyDescent="0.15">
      <c r="B318" s="2"/>
      <c r="AO318" s="2"/>
    </row>
    <row r="319" spans="2:41" ht="13" x14ac:dyDescent="0.15">
      <c r="B319" s="2"/>
      <c r="AO319" s="2"/>
    </row>
    <row r="320" spans="2:41" ht="13" x14ac:dyDescent="0.15">
      <c r="B320" s="2"/>
      <c r="AO320" s="2"/>
    </row>
    <row r="321" spans="2:41" ht="13" x14ac:dyDescent="0.15">
      <c r="B321" s="2"/>
      <c r="AO321" s="2"/>
    </row>
    <row r="322" spans="2:41" ht="13" x14ac:dyDescent="0.15">
      <c r="B322" s="2"/>
      <c r="AO322" s="2"/>
    </row>
    <row r="323" spans="2:41" ht="13" x14ac:dyDescent="0.15">
      <c r="B323" s="2"/>
      <c r="AO323" s="2"/>
    </row>
    <row r="324" spans="2:41" ht="13" x14ac:dyDescent="0.15">
      <c r="B324" s="2"/>
      <c r="AO324" s="2"/>
    </row>
    <row r="325" spans="2:41" ht="13" x14ac:dyDescent="0.15">
      <c r="B325" s="2"/>
      <c r="AO325" s="2"/>
    </row>
    <row r="326" spans="2:41" ht="13" x14ac:dyDescent="0.15">
      <c r="B326" s="2"/>
      <c r="AO326" s="2"/>
    </row>
    <row r="327" spans="2:41" ht="13" x14ac:dyDescent="0.15">
      <c r="B327" s="2"/>
      <c r="D327" s="2"/>
      <c r="AO327" s="2"/>
    </row>
    <row r="328" spans="2:41" ht="13" x14ac:dyDescent="0.15">
      <c r="B328" s="2"/>
      <c r="AO328" s="2"/>
    </row>
    <row r="329" spans="2:41" ht="13" x14ac:dyDescent="0.15">
      <c r="B329" s="2"/>
      <c r="AO329" s="2"/>
    </row>
    <row r="330" spans="2:41" ht="13" x14ac:dyDescent="0.15">
      <c r="B330" s="2"/>
      <c r="AO330" s="2"/>
    </row>
    <row r="331" spans="2:41" ht="13" x14ac:dyDescent="0.15">
      <c r="B331" s="2"/>
      <c r="AO331" s="2"/>
    </row>
    <row r="332" spans="2:41" ht="13" x14ac:dyDescent="0.15">
      <c r="B332" s="2"/>
      <c r="AO332" s="2"/>
    </row>
    <row r="333" spans="2:41" ht="13" x14ac:dyDescent="0.15">
      <c r="B333" s="2"/>
      <c r="AO333" s="2"/>
    </row>
    <row r="334" spans="2:41" ht="13" x14ac:dyDescent="0.15">
      <c r="B334" s="2"/>
      <c r="AO334" s="2"/>
    </row>
    <row r="335" spans="2:41" ht="13" x14ac:dyDescent="0.15">
      <c r="B335" s="2"/>
      <c r="AO335" s="2"/>
    </row>
    <row r="336" spans="2:41" ht="13" x14ac:dyDescent="0.15">
      <c r="B336" s="2"/>
      <c r="AO336" s="2"/>
    </row>
    <row r="337" spans="2:41" ht="13" x14ac:dyDescent="0.15">
      <c r="B337" s="2"/>
      <c r="AO337" s="2"/>
    </row>
    <row r="338" spans="2:41" ht="13" x14ac:dyDescent="0.15">
      <c r="B338" s="2"/>
      <c r="AO338" s="2"/>
    </row>
    <row r="339" spans="2:41" ht="13" x14ac:dyDescent="0.15">
      <c r="B339" s="2"/>
      <c r="AO339" s="2"/>
    </row>
    <row r="340" spans="2:41" ht="13" x14ac:dyDescent="0.15">
      <c r="B340" s="2"/>
      <c r="AO340" s="2"/>
    </row>
    <row r="341" spans="2:41" ht="13" x14ac:dyDescent="0.15">
      <c r="B341" s="2"/>
      <c r="AO341" s="2"/>
    </row>
    <row r="342" spans="2:41" ht="13" x14ac:dyDescent="0.15">
      <c r="B342" s="2"/>
      <c r="AO342" s="2"/>
    </row>
    <row r="343" spans="2:41" ht="13" x14ac:dyDescent="0.15">
      <c r="B343" s="2"/>
      <c r="D343" s="2"/>
      <c r="N343" s="2"/>
      <c r="W343" s="2"/>
      <c r="AO343" s="2"/>
    </row>
    <row r="344" spans="2:41" ht="13" x14ac:dyDescent="0.15">
      <c r="B344" s="2"/>
      <c r="AO344" s="2"/>
    </row>
    <row r="345" spans="2:41" ht="13" x14ac:dyDescent="0.15">
      <c r="B345" s="2"/>
      <c r="AO345" s="2"/>
    </row>
    <row r="346" spans="2:41" ht="13" x14ac:dyDescent="0.15">
      <c r="B346" s="2"/>
      <c r="AO346" s="2"/>
    </row>
    <row r="347" spans="2:41" ht="13" x14ac:dyDescent="0.15">
      <c r="B347" s="2"/>
      <c r="AO347" s="2"/>
    </row>
    <row r="348" spans="2:41" ht="13" x14ac:dyDescent="0.15">
      <c r="B348" s="2"/>
      <c r="AO348" s="2"/>
    </row>
    <row r="349" spans="2:41" ht="13" x14ac:dyDescent="0.15">
      <c r="B349" s="2"/>
      <c r="AO349" s="2"/>
    </row>
    <row r="350" spans="2:41" ht="13" x14ac:dyDescent="0.15">
      <c r="B350" s="2"/>
      <c r="AO350" s="2"/>
    </row>
    <row r="351" spans="2:41" ht="13" x14ac:dyDescent="0.15">
      <c r="B351" s="2"/>
      <c r="AO351" s="2"/>
    </row>
    <row r="352" spans="2:41" ht="13" x14ac:dyDescent="0.15">
      <c r="B352" s="2"/>
      <c r="AO352" s="2"/>
    </row>
    <row r="353" spans="2:41" ht="13" x14ac:dyDescent="0.15">
      <c r="B353" s="2"/>
      <c r="AO353" s="2"/>
    </row>
    <row r="354" spans="2:41" ht="13" x14ac:dyDescent="0.15">
      <c r="B354" s="2"/>
      <c r="AO354" s="2"/>
    </row>
    <row r="355" spans="2:41" ht="13" x14ac:dyDescent="0.15">
      <c r="B355" s="2"/>
      <c r="AO355" s="2"/>
    </row>
    <row r="356" spans="2:41" ht="13" x14ac:dyDescent="0.15">
      <c r="B356" s="2"/>
      <c r="AO356" s="2"/>
    </row>
    <row r="357" spans="2:41" ht="13" x14ac:dyDescent="0.15">
      <c r="B357" s="2"/>
      <c r="AO357" s="2"/>
    </row>
    <row r="358" spans="2:41" ht="13" x14ac:dyDescent="0.15">
      <c r="B358" s="2"/>
      <c r="AO358" s="2"/>
    </row>
    <row r="359" spans="2:41" ht="13" x14ac:dyDescent="0.15">
      <c r="B359" s="2"/>
      <c r="AO359" s="2"/>
    </row>
    <row r="360" spans="2:41" ht="13" x14ac:dyDescent="0.15">
      <c r="B360" s="2"/>
      <c r="AO360" s="2"/>
    </row>
    <row r="361" spans="2:41" ht="13" x14ac:dyDescent="0.15">
      <c r="B361" s="2"/>
      <c r="D361" s="2"/>
      <c r="N361" s="2"/>
      <c r="Q361" s="2"/>
      <c r="W361" s="2"/>
      <c r="AO361" s="2"/>
    </row>
    <row r="362" spans="2:41" ht="13" x14ac:dyDescent="0.15">
      <c r="B362" s="2"/>
      <c r="AO362" s="2"/>
    </row>
    <row r="363" spans="2:41" ht="13" x14ac:dyDescent="0.15">
      <c r="B363" s="2"/>
      <c r="AO363" s="2"/>
    </row>
    <row r="364" spans="2:41" ht="13" x14ac:dyDescent="0.15">
      <c r="B364" s="2"/>
      <c r="AO364" s="2"/>
    </row>
    <row r="365" spans="2:41" ht="13" x14ac:dyDescent="0.15">
      <c r="B365" s="2"/>
      <c r="AO365" s="2"/>
    </row>
    <row r="366" spans="2:41" ht="13" x14ac:dyDescent="0.15">
      <c r="B366" s="2"/>
      <c r="AO366" s="2"/>
    </row>
    <row r="367" spans="2:41" ht="13" x14ac:dyDescent="0.15">
      <c r="B367" s="2"/>
      <c r="AO367" s="2"/>
    </row>
    <row r="368" spans="2:41" ht="13" x14ac:dyDescent="0.15">
      <c r="B368" s="2"/>
      <c r="D368" s="2"/>
      <c r="M368" s="2"/>
      <c r="N368" s="2"/>
      <c r="W368" s="2"/>
      <c r="AO368" s="2"/>
    </row>
    <row r="369" spans="2:41" ht="13" x14ac:dyDescent="0.15">
      <c r="B369" s="2"/>
      <c r="AO369" s="2"/>
    </row>
    <row r="370" spans="2:41" ht="13" x14ac:dyDescent="0.15">
      <c r="B370" s="2"/>
      <c r="AO370" s="2"/>
    </row>
    <row r="371" spans="2:41" ht="13" x14ac:dyDescent="0.15">
      <c r="B371" s="2"/>
      <c r="AO371" s="2"/>
    </row>
    <row r="372" spans="2:41" ht="13" x14ac:dyDescent="0.15">
      <c r="B372" s="2"/>
      <c r="AO372" s="2"/>
    </row>
    <row r="373" spans="2:41" ht="13" x14ac:dyDescent="0.15">
      <c r="B373" s="2"/>
      <c r="AO373" s="2"/>
    </row>
    <row r="374" spans="2:41" ht="13" x14ac:dyDescent="0.15">
      <c r="B374" s="2"/>
      <c r="AO374" s="2"/>
    </row>
    <row r="375" spans="2:41" ht="13" x14ac:dyDescent="0.15">
      <c r="B375" s="2"/>
      <c r="AO375" s="2"/>
    </row>
    <row r="376" spans="2:41" ht="13" x14ac:dyDescent="0.15">
      <c r="B376" s="2"/>
      <c r="AO376" s="2"/>
    </row>
    <row r="377" spans="2:41" ht="13" x14ac:dyDescent="0.15">
      <c r="B377" s="2"/>
      <c r="AO377" s="2"/>
    </row>
    <row r="378" spans="2:41" ht="13" x14ac:dyDescent="0.15">
      <c r="B378" s="2"/>
      <c r="AO378" s="2"/>
    </row>
    <row r="379" spans="2:41" ht="13" x14ac:dyDescent="0.15">
      <c r="B379" s="2"/>
      <c r="AO379" s="2"/>
    </row>
    <row r="380" spans="2:41" ht="13" x14ac:dyDescent="0.15">
      <c r="B380" s="2"/>
      <c r="AO380" s="2"/>
    </row>
    <row r="381" spans="2:41" ht="13" x14ac:dyDescent="0.15">
      <c r="B381" s="2"/>
      <c r="AO381" s="2"/>
    </row>
    <row r="382" spans="2:41" ht="13" x14ac:dyDescent="0.15">
      <c r="B382" s="2"/>
      <c r="AO382" s="2"/>
    </row>
    <row r="383" spans="2:41" ht="13" x14ac:dyDescent="0.15">
      <c r="B383" s="2"/>
      <c r="AO383" s="2"/>
    </row>
    <row r="384" spans="2:41" ht="13" x14ac:dyDescent="0.15">
      <c r="B384" s="2"/>
      <c r="AO384" s="2"/>
    </row>
    <row r="385" spans="2:41" ht="13" x14ac:dyDescent="0.15">
      <c r="B385" s="2"/>
      <c r="AO385" s="2"/>
    </row>
    <row r="386" spans="2:41" ht="13" x14ac:dyDescent="0.15">
      <c r="B386" s="2"/>
      <c r="AO386" s="2"/>
    </row>
    <row r="387" spans="2:41" ht="13" x14ac:dyDescent="0.15">
      <c r="B387" s="2"/>
      <c r="AO387" s="2"/>
    </row>
    <row r="388" spans="2:41" ht="13" x14ac:dyDescent="0.15">
      <c r="B388" s="2"/>
      <c r="AO388" s="2"/>
    </row>
    <row r="389" spans="2:41" ht="13" x14ac:dyDescent="0.15">
      <c r="B389" s="2"/>
      <c r="AO389" s="2"/>
    </row>
    <row r="390" spans="2:41" ht="13" x14ac:dyDescent="0.15">
      <c r="B390" s="2"/>
      <c r="AO390" s="2"/>
    </row>
    <row r="391" spans="2:41" ht="13" x14ac:dyDescent="0.15">
      <c r="B391" s="2"/>
      <c r="AO391" s="2"/>
    </row>
    <row r="392" spans="2:41" ht="13" x14ac:dyDescent="0.15">
      <c r="B392" s="2"/>
      <c r="AO392" s="2"/>
    </row>
    <row r="393" spans="2:41" ht="13" x14ac:dyDescent="0.15">
      <c r="B393" s="2"/>
      <c r="AO393" s="2"/>
    </row>
    <row r="394" spans="2:41" ht="13" x14ac:dyDescent="0.15">
      <c r="B394" s="2"/>
      <c r="AO394" s="2"/>
    </row>
    <row r="395" spans="2:41" ht="13" x14ac:dyDescent="0.15">
      <c r="B395" s="2"/>
      <c r="C395" s="2"/>
      <c r="D395" s="2"/>
      <c r="F395" s="2"/>
      <c r="G395" s="2"/>
      <c r="H395" s="2"/>
      <c r="I395" s="2"/>
      <c r="J395" s="2"/>
      <c r="M395" s="2"/>
      <c r="N395" s="2"/>
      <c r="P395" s="2"/>
      <c r="Q395" s="2"/>
      <c r="R395" s="2"/>
      <c r="S395" s="2"/>
      <c r="T395" s="2"/>
      <c r="U395" s="2"/>
      <c r="W395" s="2"/>
      <c r="X395" s="2"/>
      <c r="Z395" s="2"/>
      <c r="AA395" s="2"/>
      <c r="AB395" s="2"/>
      <c r="AC395" s="2"/>
      <c r="AD395" s="2"/>
      <c r="AE395" s="2"/>
      <c r="AG395" s="2"/>
      <c r="AH395" s="2"/>
      <c r="AK395" s="2"/>
      <c r="AM395" s="2"/>
      <c r="AO395" s="2"/>
    </row>
    <row r="396" spans="2:41" ht="13" x14ac:dyDescent="0.15">
      <c r="B396" s="2"/>
      <c r="D396" s="2"/>
      <c r="H396" s="2"/>
      <c r="I396" s="2"/>
      <c r="N396" s="2"/>
      <c r="Q396" s="2"/>
      <c r="S396" s="2"/>
      <c r="X396" s="2"/>
      <c r="AA396" s="2"/>
      <c r="AC396" s="2"/>
      <c r="AD396" s="2"/>
      <c r="AO396" s="2"/>
    </row>
    <row r="397" spans="2:41" ht="13" x14ac:dyDescent="0.15">
      <c r="B397" s="2"/>
      <c r="D397" s="2"/>
      <c r="F397" s="2"/>
      <c r="G397" s="2"/>
      <c r="H397" s="2"/>
      <c r="I397" s="2"/>
      <c r="N397" s="2"/>
      <c r="P397" s="2"/>
      <c r="Q397" s="2"/>
      <c r="S397" s="2"/>
      <c r="W397" s="2"/>
      <c r="X397" s="2"/>
      <c r="AA397" s="2"/>
      <c r="AC397" s="2"/>
      <c r="AO397" s="2"/>
    </row>
    <row r="398" spans="2:41" ht="13" x14ac:dyDescent="0.15">
      <c r="B398" s="2"/>
      <c r="D398" s="2"/>
      <c r="F398" s="2"/>
      <c r="G398" s="2"/>
      <c r="H398" s="2"/>
      <c r="I398" s="2"/>
      <c r="N398" s="2"/>
      <c r="P398" s="2"/>
      <c r="Q398" s="2"/>
      <c r="S398" s="2"/>
      <c r="W398" s="2"/>
      <c r="X398" s="2"/>
      <c r="AA398" s="2"/>
      <c r="AC398" s="2"/>
      <c r="AO398" s="2"/>
    </row>
    <row r="399" spans="2:41" ht="13" x14ac:dyDescent="0.15">
      <c r="B399" s="2"/>
      <c r="D399" s="2"/>
      <c r="F399" s="2"/>
      <c r="G399" s="2"/>
      <c r="H399" s="2"/>
      <c r="I399" s="2"/>
      <c r="M399" s="2"/>
      <c r="N399" s="2"/>
      <c r="P399" s="2"/>
      <c r="Q399" s="2"/>
      <c r="S399" s="2"/>
      <c r="W399" s="2"/>
      <c r="X399" s="2"/>
      <c r="Z399" s="2"/>
      <c r="AA399" s="2"/>
      <c r="AC399" s="2"/>
      <c r="AG399" s="2"/>
      <c r="AO399" s="2"/>
    </row>
    <row r="400" spans="2:41" ht="13" x14ac:dyDescent="0.15">
      <c r="B400" s="2"/>
      <c r="N400" s="2"/>
      <c r="AO400" s="2"/>
    </row>
    <row r="401" spans="2:41" ht="13" x14ac:dyDescent="0.15">
      <c r="B401" s="2"/>
      <c r="AO401" s="2"/>
    </row>
    <row r="402" spans="2:41" ht="13" x14ac:dyDescent="0.15">
      <c r="B402" s="2"/>
      <c r="D402" s="2"/>
      <c r="G402" s="2"/>
      <c r="I402" s="2"/>
      <c r="N402" s="2"/>
      <c r="Q402" s="2"/>
      <c r="S402" s="2"/>
      <c r="X402" s="2"/>
      <c r="AA402" s="2"/>
      <c r="AC402" s="2"/>
      <c r="AO402" s="2"/>
    </row>
    <row r="403" spans="2:41" ht="13" x14ac:dyDescent="0.15">
      <c r="B403" s="2"/>
      <c r="D403" s="2"/>
      <c r="M403" s="2"/>
      <c r="N403" s="2"/>
      <c r="W403" s="2"/>
      <c r="X403" s="2"/>
      <c r="AO403" s="2"/>
    </row>
    <row r="404" spans="2:41" ht="13" x14ac:dyDescent="0.15">
      <c r="B404" s="2"/>
      <c r="D404" s="2"/>
      <c r="G404" s="2"/>
      <c r="H404" s="2"/>
      <c r="I404" s="2"/>
      <c r="N404" s="2"/>
      <c r="Q404" s="2"/>
      <c r="S404" s="2"/>
      <c r="X404" s="2"/>
      <c r="AA404" s="2"/>
      <c r="AC404" s="2"/>
      <c r="AO404" s="2"/>
    </row>
    <row r="405" spans="2:41" ht="13" x14ac:dyDescent="0.15">
      <c r="B405" s="2"/>
      <c r="D405" s="2"/>
      <c r="G405" s="2"/>
      <c r="H405" s="2"/>
      <c r="I405" s="2"/>
      <c r="N405" s="2"/>
      <c r="Q405" s="2"/>
      <c r="S405" s="2"/>
      <c r="X405" s="2"/>
      <c r="AA405" s="2"/>
      <c r="AC405" s="2"/>
      <c r="AO405" s="2"/>
    </row>
    <row r="406" spans="2:41" ht="13" x14ac:dyDescent="0.15">
      <c r="B406" s="2"/>
      <c r="AO406" s="2"/>
    </row>
    <row r="407" spans="2:41" ht="13" x14ac:dyDescent="0.15">
      <c r="B407" s="2"/>
      <c r="D407" s="2"/>
      <c r="F407" s="2"/>
      <c r="G407" s="2"/>
      <c r="H407" s="2"/>
      <c r="I407" s="2"/>
      <c r="N407" s="2"/>
      <c r="P407" s="2"/>
      <c r="Q407" s="2"/>
      <c r="S407" s="2"/>
      <c r="W407" s="2"/>
      <c r="X407" s="2"/>
      <c r="AA407" s="2"/>
      <c r="AC407" s="2"/>
      <c r="AG407" s="2"/>
      <c r="AO407" s="2"/>
    </row>
    <row r="408" spans="2:41" ht="13" x14ac:dyDescent="0.15">
      <c r="B408" s="2"/>
      <c r="AO408" s="2"/>
    </row>
    <row r="409" spans="2:41" ht="13" x14ac:dyDescent="0.15">
      <c r="B409" s="2"/>
      <c r="AO409" s="2"/>
    </row>
    <row r="410" spans="2:41" ht="13" x14ac:dyDescent="0.15">
      <c r="B410" s="2"/>
      <c r="AO410" s="2"/>
    </row>
    <row r="411" spans="2:41" ht="13" x14ac:dyDescent="0.15">
      <c r="B411" s="2"/>
      <c r="AO411" s="2"/>
    </row>
    <row r="412" spans="2:41" ht="13" x14ac:dyDescent="0.15">
      <c r="B412" s="2"/>
      <c r="N412" s="2"/>
      <c r="S412" s="2"/>
      <c r="X412" s="2"/>
      <c r="AO412" s="2"/>
    </row>
    <row r="413" spans="2:41" ht="13" x14ac:dyDescent="0.15">
      <c r="B413" s="2"/>
      <c r="AO413" s="2"/>
    </row>
    <row r="414" spans="2:41" ht="13" x14ac:dyDescent="0.15">
      <c r="B414" s="2"/>
      <c r="AO414" s="2"/>
    </row>
    <row r="415" spans="2:41" ht="13" x14ac:dyDescent="0.15">
      <c r="B415" s="2"/>
      <c r="AO415" s="2"/>
    </row>
    <row r="416" spans="2:41" ht="13" x14ac:dyDescent="0.15">
      <c r="B416" s="2"/>
      <c r="AO416" s="2"/>
    </row>
    <row r="417" spans="2:41" ht="13" x14ac:dyDescent="0.15">
      <c r="B417" s="2"/>
      <c r="D417" s="2"/>
      <c r="G417" s="2"/>
      <c r="H417" s="2"/>
      <c r="I417" s="2"/>
      <c r="N417" s="2"/>
      <c r="Q417" s="2"/>
      <c r="S417" s="2"/>
      <c r="W417" s="2"/>
      <c r="X417" s="2"/>
      <c r="AA417" s="2"/>
      <c r="AC417" s="2"/>
      <c r="AO417" s="2"/>
    </row>
    <row r="418" spans="2:41" ht="13" x14ac:dyDescent="0.15">
      <c r="B418" s="2"/>
      <c r="N418" s="2"/>
      <c r="AO418" s="2"/>
    </row>
    <row r="419" spans="2:41" ht="13" x14ac:dyDescent="0.15">
      <c r="B419" s="2"/>
      <c r="AO419" s="2"/>
    </row>
    <row r="420" spans="2:41" ht="13" x14ac:dyDescent="0.15">
      <c r="B420" s="2"/>
      <c r="AO420" s="2"/>
    </row>
    <row r="421" spans="2:41" ht="13" x14ac:dyDescent="0.15">
      <c r="B421" s="2"/>
      <c r="I421" s="2"/>
      <c r="S421" s="2"/>
      <c r="AC421" s="2"/>
      <c r="AO421" s="2"/>
    </row>
    <row r="422" spans="2:41" ht="13" x14ac:dyDescent="0.15">
      <c r="B422" s="2"/>
      <c r="AO422" s="2"/>
    </row>
    <row r="423" spans="2:41" ht="13" x14ac:dyDescent="0.15">
      <c r="B423" s="2"/>
      <c r="D423" s="2"/>
      <c r="N423" s="2"/>
      <c r="W423" s="2"/>
      <c r="X423" s="2"/>
      <c r="AO423" s="2"/>
    </row>
    <row r="424" spans="2:41" ht="13" x14ac:dyDescent="0.15">
      <c r="B424" s="2"/>
      <c r="D424" s="2"/>
      <c r="G424" s="2"/>
      <c r="H424" s="2"/>
      <c r="I424" s="2"/>
      <c r="N424" s="2"/>
      <c r="Q424" s="2"/>
      <c r="S424" s="2"/>
      <c r="T424" s="2"/>
      <c r="X424" s="2"/>
      <c r="AA424" s="2"/>
      <c r="AC424" s="2"/>
      <c r="AD424" s="2"/>
      <c r="AO424" s="2"/>
    </row>
    <row r="425" spans="2:41" ht="13" x14ac:dyDescent="0.15">
      <c r="B425" s="2"/>
      <c r="D425" s="2"/>
      <c r="G425" s="2"/>
      <c r="M425" s="2"/>
      <c r="N425" s="2"/>
      <c r="Q425" s="2"/>
      <c r="S425" s="2"/>
      <c r="W425" s="2"/>
      <c r="X425" s="2"/>
      <c r="AA425" s="2"/>
      <c r="AO425" s="2"/>
    </row>
    <row r="426" spans="2:41" ht="13" x14ac:dyDescent="0.15">
      <c r="B426" s="2"/>
      <c r="X426" s="2"/>
      <c r="AO426" s="2"/>
    </row>
    <row r="427" spans="2:41" ht="13" x14ac:dyDescent="0.15">
      <c r="B427" s="2"/>
      <c r="AO427" s="2"/>
    </row>
    <row r="428" spans="2:41" ht="13" x14ac:dyDescent="0.15">
      <c r="B428" s="2"/>
      <c r="D428" s="2"/>
      <c r="AO428" s="2"/>
    </row>
    <row r="429" spans="2:41" ht="13" x14ac:dyDescent="0.15">
      <c r="B429" s="2"/>
      <c r="AO429" s="2"/>
    </row>
    <row r="430" spans="2:41" ht="13" x14ac:dyDescent="0.15">
      <c r="B430" s="2"/>
      <c r="AO430" s="2"/>
    </row>
    <row r="431" spans="2:41" ht="13" x14ac:dyDescent="0.15">
      <c r="B431" s="2"/>
      <c r="AO431" s="2"/>
    </row>
    <row r="432" spans="2:41" ht="13" x14ac:dyDescent="0.15">
      <c r="B432" s="2"/>
      <c r="AO432" s="2"/>
    </row>
    <row r="433" spans="2:41" ht="13" x14ac:dyDescent="0.15">
      <c r="B433" s="2"/>
      <c r="N433" s="2"/>
      <c r="AO433" s="2"/>
    </row>
    <row r="434" spans="2:41" ht="13" x14ac:dyDescent="0.15">
      <c r="B434" s="2"/>
      <c r="D434" s="2"/>
      <c r="N434" s="2"/>
      <c r="W434" s="2"/>
      <c r="X434" s="2"/>
      <c r="AO434" s="2"/>
    </row>
    <row r="435" spans="2:41" ht="13" x14ac:dyDescent="0.15">
      <c r="B435" s="2"/>
      <c r="AO435" s="2"/>
    </row>
    <row r="436" spans="2:41" ht="13" x14ac:dyDescent="0.15">
      <c r="B436" s="2"/>
      <c r="AO436" s="2"/>
    </row>
    <row r="437" spans="2:41" ht="13" x14ac:dyDescent="0.15">
      <c r="B437" s="2"/>
      <c r="AO437" s="2"/>
    </row>
    <row r="438" spans="2:41" ht="13" x14ac:dyDescent="0.15">
      <c r="B438" s="2"/>
      <c r="AO438" s="2"/>
    </row>
    <row r="439" spans="2:41" ht="13" x14ac:dyDescent="0.15">
      <c r="B439" s="2"/>
      <c r="AO439" s="2"/>
    </row>
    <row r="440" spans="2:41" ht="13" x14ac:dyDescent="0.15">
      <c r="B440" s="2"/>
      <c r="AO440" s="2"/>
    </row>
    <row r="441" spans="2:41" ht="13" x14ac:dyDescent="0.15">
      <c r="B441" s="2"/>
      <c r="N441" s="2"/>
      <c r="AO441" s="2"/>
    </row>
    <row r="442" spans="2:41" ht="13" x14ac:dyDescent="0.15">
      <c r="B442" s="2"/>
      <c r="AO442" s="2"/>
    </row>
    <row r="443" spans="2:41" ht="13" x14ac:dyDescent="0.15">
      <c r="B443" s="2"/>
      <c r="AO443" s="2"/>
    </row>
    <row r="444" spans="2:41" ht="13" x14ac:dyDescent="0.15">
      <c r="B444" s="2"/>
      <c r="AO444" s="2"/>
    </row>
    <row r="445" spans="2:41" ht="13" x14ac:dyDescent="0.15">
      <c r="B445" s="2"/>
      <c r="AO445" s="2"/>
    </row>
    <row r="446" spans="2:41" ht="13" x14ac:dyDescent="0.15">
      <c r="B446" s="2"/>
      <c r="AO446" s="2"/>
    </row>
    <row r="447" spans="2:41" ht="13" x14ac:dyDescent="0.15">
      <c r="B447" s="2"/>
      <c r="AO447" s="2"/>
    </row>
    <row r="448" spans="2:41" ht="13" x14ac:dyDescent="0.15">
      <c r="B448" s="2"/>
      <c r="D448" s="2"/>
      <c r="N448" s="2"/>
      <c r="W448" s="2"/>
      <c r="X448" s="2"/>
      <c r="AO448" s="2"/>
    </row>
    <row r="449" spans="2:41" ht="13" x14ac:dyDescent="0.15">
      <c r="B449" s="2"/>
      <c r="AO449" s="2"/>
    </row>
    <row r="450" spans="2:41" ht="13" x14ac:dyDescent="0.15">
      <c r="B450" s="2"/>
      <c r="AO450" s="2"/>
    </row>
    <row r="451" spans="2:41" ht="13" x14ac:dyDescent="0.15">
      <c r="B451" s="2"/>
      <c r="AO451" s="2"/>
    </row>
    <row r="452" spans="2:41" ht="13" x14ac:dyDescent="0.15">
      <c r="B452" s="2"/>
      <c r="AO452" s="2"/>
    </row>
    <row r="453" spans="2:41" ht="13" x14ac:dyDescent="0.15">
      <c r="B453" s="2"/>
      <c r="AO453" s="2"/>
    </row>
    <row r="454" spans="2:41" ht="13" x14ac:dyDescent="0.15">
      <c r="B454" s="2"/>
      <c r="AO454" s="2"/>
    </row>
    <row r="455" spans="2:41" ht="13" x14ac:dyDescent="0.15">
      <c r="B455" s="2"/>
      <c r="AO455" s="2"/>
    </row>
    <row r="456" spans="2:41" ht="13" x14ac:dyDescent="0.15">
      <c r="B456" s="2"/>
      <c r="AO456" s="2"/>
    </row>
    <row r="457" spans="2:41" ht="13" x14ac:dyDescent="0.15">
      <c r="B457" s="2"/>
      <c r="AO457" s="2"/>
    </row>
    <row r="458" spans="2:41" ht="13" x14ac:dyDescent="0.15">
      <c r="B458" s="2"/>
      <c r="AO458" s="2"/>
    </row>
    <row r="459" spans="2:41" ht="13" x14ac:dyDescent="0.15">
      <c r="B459" s="2"/>
      <c r="AO459" s="2"/>
    </row>
    <row r="460" spans="2:41" ht="13" x14ac:dyDescent="0.15">
      <c r="B460" s="2"/>
      <c r="AO460" s="2"/>
    </row>
    <row r="461" spans="2:41" ht="13" x14ac:dyDescent="0.15">
      <c r="B461" s="2"/>
      <c r="AO461" s="2"/>
    </row>
    <row r="462" spans="2:41" ht="13" x14ac:dyDescent="0.15">
      <c r="B462" s="2"/>
      <c r="AO462" s="2"/>
    </row>
    <row r="463" spans="2:41" ht="13" x14ac:dyDescent="0.15">
      <c r="B463" s="2"/>
      <c r="D463" s="2"/>
      <c r="F463" s="2"/>
      <c r="G463" s="2"/>
      <c r="I463" s="2"/>
      <c r="M463" s="2"/>
      <c r="N463" s="2"/>
      <c r="Q463" s="2"/>
      <c r="S463" s="2"/>
      <c r="W463" s="2"/>
      <c r="X463" s="2"/>
      <c r="AG463" s="2"/>
      <c r="AO463" s="2"/>
    </row>
    <row r="464" spans="2:41" ht="13" x14ac:dyDescent="0.15">
      <c r="B464" s="2"/>
      <c r="AO464" s="2"/>
    </row>
    <row r="465" spans="2:41" ht="13" x14ac:dyDescent="0.15">
      <c r="B465" s="2"/>
      <c r="AO465" s="2"/>
    </row>
    <row r="466" spans="2:41" ht="13" x14ac:dyDescent="0.15">
      <c r="B466" s="2"/>
      <c r="AO466" s="2"/>
    </row>
    <row r="467" spans="2:41" ht="13" x14ac:dyDescent="0.15">
      <c r="B467" s="2"/>
      <c r="AO467" s="2"/>
    </row>
    <row r="468" spans="2:41" ht="13" x14ac:dyDescent="0.15">
      <c r="B468" s="2"/>
      <c r="AO468" s="2"/>
    </row>
    <row r="469" spans="2:41" ht="13" x14ac:dyDescent="0.15">
      <c r="B469" s="2"/>
      <c r="AO469" s="2"/>
    </row>
    <row r="470" spans="2:41" ht="13" x14ac:dyDescent="0.15">
      <c r="B470" s="2"/>
      <c r="AO470" s="2"/>
    </row>
    <row r="471" spans="2:41" ht="13" x14ac:dyDescent="0.15">
      <c r="B471" s="2"/>
      <c r="AO471" s="2"/>
    </row>
    <row r="472" spans="2:41" ht="13" x14ac:dyDescent="0.15">
      <c r="B472" s="2"/>
      <c r="AO472" s="2"/>
    </row>
    <row r="473" spans="2:41" ht="13" x14ac:dyDescent="0.15">
      <c r="B473" s="2"/>
      <c r="AO473" s="2"/>
    </row>
    <row r="474" spans="2:41" ht="13" x14ac:dyDescent="0.15">
      <c r="B474" s="2"/>
      <c r="AO474" s="2"/>
    </row>
    <row r="475" spans="2:41" ht="13" x14ac:dyDescent="0.15">
      <c r="B475" s="2"/>
      <c r="AO475" s="2"/>
    </row>
    <row r="476" spans="2:41" ht="13" x14ac:dyDescent="0.15">
      <c r="B476" s="2"/>
      <c r="AO476" s="2"/>
    </row>
    <row r="477" spans="2:41" ht="13" x14ac:dyDescent="0.15">
      <c r="B477" s="2"/>
      <c r="AO477" s="2"/>
    </row>
    <row r="478" spans="2:41" ht="13" x14ac:dyDescent="0.15">
      <c r="B478" s="2"/>
      <c r="AO478" s="2"/>
    </row>
    <row r="479" spans="2:41" ht="13" x14ac:dyDescent="0.15">
      <c r="B479" s="2"/>
      <c r="AO479" s="2"/>
    </row>
    <row r="480" spans="2:41" ht="13" x14ac:dyDescent="0.15">
      <c r="B480" s="2"/>
      <c r="AO480" s="2"/>
    </row>
    <row r="481" spans="2:41" ht="13" x14ac:dyDescent="0.15">
      <c r="B481" s="2"/>
      <c r="AO481" s="2"/>
    </row>
    <row r="482" spans="2:41" ht="13" x14ac:dyDescent="0.15">
      <c r="B482" s="2"/>
      <c r="AO482" s="2"/>
    </row>
    <row r="483" spans="2:41" ht="13" x14ac:dyDescent="0.15">
      <c r="B483" s="2"/>
      <c r="D483" s="2"/>
      <c r="G483" s="2"/>
      <c r="M483" s="2"/>
      <c r="N483" s="2"/>
      <c r="Q483" s="2"/>
      <c r="S483" s="2"/>
      <c r="W483" s="2"/>
      <c r="X483" s="2"/>
      <c r="AO483" s="2"/>
    </row>
    <row r="484" spans="2:41" ht="13" x14ac:dyDescent="0.15">
      <c r="B484" s="2"/>
      <c r="D484" s="2"/>
      <c r="N484" s="2"/>
      <c r="X484" s="2"/>
      <c r="AO484" s="2"/>
    </row>
    <row r="485" spans="2:41" ht="13" x14ac:dyDescent="0.15">
      <c r="B485" s="2"/>
      <c r="AO485" s="2"/>
    </row>
    <row r="486" spans="2:41" ht="13" x14ac:dyDescent="0.15">
      <c r="B486" s="2"/>
      <c r="AO486" s="2"/>
    </row>
    <row r="487" spans="2:41" ht="13" x14ac:dyDescent="0.15">
      <c r="B487" s="2"/>
      <c r="AO487" s="2"/>
    </row>
    <row r="488" spans="2:41" ht="13" x14ac:dyDescent="0.15">
      <c r="B488" s="2"/>
      <c r="AO488" s="2"/>
    </row>
    <row r="489" spans="2:41" ht="13" x14ac:dyDescent="0.15">
      <c r="B489" s="2"/>
      <c r="AO489" s="2"/>
    </row>
    <row r="490" spans="2:41" ht="13" x14ac:dyDescent="0.15">
      <c r="B490" s="2"/>
      <c r="AO490" s="2"/>
    </row>
    <row r="491" spans="2:41" ht="13" x14ac:dyDescent="0.15">
      <c r="B491" s="2"/>
      <c r="AO491" s="2"/>
    </row>
    <row r="492" spans="2:41" ht="13" x14ac:dyDescent="0.15">
      <c r="B492" s="2"/>
      <c r="AO492" s="2"/>
    </row>
    <row r="493" spans="2:41" ht="13" x14ac:dyDescent="0.15">
      <c r="B493" s="2"/>
      <c r="D493" s="2"/>
      <c r="G493" s="2"/>
      <c r="N493" s="2"/>
      <c r="Q493" s="2"/>
      <c r="S493" s="2"/>
      <c r="W493" s="2"/>
      <c r="X493" s="2"/>
      <c r="AA493" s="2"/>
      <c r="AO493" s="2"/>
    </row>
    <row r="494" spans="2:41" ht="13" x14ac:dyDescent="0.15">
      <c r="B494" s="2"/>
      <c r="N494" s="2"/>
      <c r="Q494" s="2"/>
      <c r="X494" s="2"/>
      <c r="AO494" s="2"/>
    </row>
    <row r="495" spans="2:41" ht="13" x14ac:dyDescent="0.15">
      <c r="B495" s="2"/>
      <c r="AO495" s="2"/>
    </row>
    <row r="496" spans="2:41" ht="13" x14ac:dyDescent="0.15">
      <c r="B496" s="2"/>
      <c r="AO496" s="2"/>
    </row>
    <row r="497" spans="2:41" ht="13" x14ac:dyDescent="0.15">
      <c r="B497" s="2"/>
      <c r="AO497" s="2"/>
    </row>
    <row r="498" spans="2:41" ht="13" x14ac:dyDescent="0.15">
      <c r="B498" s="2"/>
      <c r="AO498" s="2"/>
    </row>
    <row r="499" spans="2:41" ht="13" x14ac:dyDescent="0.15">
      <c r="B499" s="2"/>
      <c r="AO499" s="2"/>
    </row>
    <row r="500" spans="2:41" ht="13" x14ac:dyDescent="0.15">
      <c r="B500" s="2"/>
      <c r="AO500" s="2"/>
    </row>
    <row r="501" spans="2:41" ht="13" x14ac:dyDescent="0.15">
      <c r="B501" s="2"/>
      <c r="AO501" s="2"/>
    </row>
    <row r="502" spans="2:41" ht="13" x14ac:dyDescent="0.15">
      <c r="B502" s="2"/>
      <c r="AO502" s="2"/>
    </row>
    <row r="503" spans="2:41" ht="13" x14ac:dyDescent="0.15">
      <c r="B503" s="2"/>
      <c r="AO503" s="2"/>
    </row>
    <row r="504" spans="2:41" ht="13" x14ac:dyDescent="0.15">
      <c r="B504" s="2"/>
      <c r="AO504" s="2"/>
    </row>
    <row r="505" spans="2:41" ht="13" x14ac:dyDescent="0.15">
      <c r="B505" s="2"/>
      <c r="AO505" s="2"/>
    </row>
    <row r="506" spans="2:41" ht="13" x14ac:dyDescent="0.15">
      <c r="B506" s="2"/>
      <c r="AO506" s="2"/>
    </row>
    <row r="507" spans="2:41" ht="13" x14ac:dyDescent="0.15">
      <c r="B507" s="2"/>
      <c r="AO507" s="2"/>
    </row>
    <row r="508" spans="2:41" ht="13" x14ac:dyDescent="0.15">
      <c r="B508" s="2"/>
      <c r="AO508" s="2"/>
    </row>
    <row r="509" spans="2:41" ht="13" x14ac:dyDescent="0.15">
      <c r="B509" s="2"/>
      <c r="AO509" s="2"/>
    </row>
    <row r="510" spans="2:41" ht="13" x14ac:dyDescent="0.15">
      <c r="B510" s="2"/>
      <c r="AO510" s="2"/>
    </row>
    <row r="511" spans="2:41" ht="13" x14ac:dyDescent="0.15">
      <c r="B511" s="2"/>
      <c r="AO511" s="2"/>
    </row>
    <row r="512" spans="2:41" ht="13" x14ac:dyDescent="0.15">
      <c r="B512" s="2"/>
      <c r="C512" s="2"/>
      <c r="D512" s="2"/>
      <c r="F512" s="2"/>
      <c r="G512" s="2"/>
      <c r="H512" s="2"/>
      <c r="I512" s="2"/>
      <c r="M512" s="2"/>
      <c r="N512" s="2"/>
      <c r="P512" s="2"/>
      <c r="Q512" s="2"/>
      <c r="R512" s="2"/>
      <c r="S512" s="2"/>
      <c r="T512" s="2"/>
      <c r="U512" s="2"/>
      <c r="W512" s="2"/>
      <c r="X512" s="2"/>
      <c r="AA512" s="2"/>
      <c r="AC512" s="2"/>
      <c r="AD512" s="2"/>
      <c r="AE512" s="2"/>
      <c r="AG512" s="2"/>
      <c r="AO512" s="2"/>
    </row>
    <row r="513" spans="2:41" ht="13" x14ac:dyDescent="0.15">
      <c r="B513" s="2"/>
      <c r="D513" s="2"/>
      <c r="G513" s="2"/>
      <c r="H513" s="2"/>
      <c r="I513" s="2"/>
      <c r="M513" s="2"/>
      <c r="N513" s="2"/>
      <c r="Q513" s="2"/>
      <c r="S513" s="2"/>
      <c r="W513" s="2"/>
      <c r="X513" s="2"/>
      <c r="AA513" s="2"/>
      <c r="AC513" s="2"/>
      <c r="AO513" s="2"/>
    </row>
    <row r="514" spans="2:41" ht="13" x14ac:dyDescent="0.15">
      <c r="B514" s="2"/>
      <c r="AO514" s="2"/>
    </row>
    <row r="515" spans="2:41" ht="13" x14ac:dyDescent="0.15">
      <c r="B515" s="2"/>
      <c r="AO515" s="2"/>
    </row>
    <row r="516" spans="2:41" ht="13" x14ac:dyDescent="0.15">
      <c r="B516" s="2"/>
      <c r="D516" s="2"/>
      <c r="N516" s="2"/>
      <c r="AO516" s="2"/>
    </row>
    <row r="517" spans="2:41" ht="13" x14ac:dyDescent="0.15">
      <c r="B517" s="2"/>
      <c r="AO517" s="2"/>
    </row>
    <row r="518" spans="2:41" ht="13" x14ac:dyDescent="0.15">
      <c r="B518" s="2"/>
      <c r="AO518" s="2"/>
    </row>
    <row r="519" spans="2:41" ht="13" x14ac:dyDescent="0.15">
      <c r="B519" s="2"/>
      <c r="AO519" s="2"/>
    </row>
    <row r="520" spans="2:41" ht="13" x14ac:dyDescent="0.15">
      <c r="B520" s="2"/>
      <c r="AO520" s="2"/>
    </row>
    <row r="521" spans="2:41" ht="13" x14ac:dyDescent="0.15">
      <c r="B521" s="2"/>
      <c r="AO521" s="2"/>
    </row>
    <row r="522" spans="2:41" ht="13" x14ac:dyDescent="0.15">
      <c r="B522" s="2"/>
      <c r="D522" s="2"/>
      <c r="H522" s="2"/>
      <c r="I522" s="2"/>
      <c r="N522" s="2"/>
      <c r="Q522" s="2"/>
      <c r="S522" s="2"/>
      <c r="W522" s="2"/>
      <c r="X522" s="2"/>
      <c r="AC522" s="2"/>
      <c r="AO522" s="2"/>
    </row>
    <row r="523" spans="2:41" ht="13" x14ac:dyDescent="0.15">
      <c r="B523" s="2"/>
      <c r="AO523" s="2"/>
    </row>
    <row r="524" spans="2:41" ht="13" x14ac:dyDescent="0.15">
      <c r="B524" s="2"/>
      <c r="AO524" s="2"/>
    </row>
    <row r="525" spans="2:41" ht="13" x14ac:dyDescent="0.15">
      <c r="B525" s="2"/>
      <c r="AO525" s="2"/>
    </row>
    <row r="526" spans="2:41" ht="13" x14ac:dyDescent="0.15">
      <c r="B526" s="2"/>
      <c r="AO526" s="2"/>
    </row>
    <row r="527" spans="2:41" ht="13" x14ac:dyDescent="0.15">
      <c r="B527" s="2"/>
      <c r="D527" s="2"/>
      <c r="N527" s="2"/>
      <c r="AO527" s="2"/>
    </row>
    <row r="528" spans="2:41" ht="13" x14ac:dyDescent="0.15">
      <c r="B528" s="2"/>
      <c r="D528" s="2"/>
      <c r="N528" s="2"/>
      <c r="S528" s="2"/>
      <c r="AO528" s="2"/>
    </row>
    <row r="529" spans="2:41" ht="13" x14ac:dyDescent="0.15">
      <c r="B529" s="2"/>
      <c r="D529" s="2"/>
      <c r="M529" s="2"/>
      <c r="N529" s="2"/>
      <c r="W529" s="2"/>
      <c r="AO529" s="2"/>
    </row>
    <row r="530" spans="2:41" ht="13" x14ac:dyDescent="0.15">
      <c r="B530" s="2"/>
      <c r="AO530" s="2"/>
    </row>
    <row r="531" spans="2:41" ht="13" x14ac:dyDescent="0.15">
      <c r="B531" s="2"/>
      <c r="AO531" s="2"/>
    </row>
    <row r="532" spans="2:41" ht="13" x14ac:dyDescent="0.15">
      <c r="B532" s="2"/>
      <c r="AO532" s="2"/>
    </row>
    <row r="533" spans="2:41" ht="13" x14ac:dyDescent="0.15">
      <c r="B533" s="2"/>
      <c r="AO533" s="2"/>
    </row>
    <row r="534" spans="2:41" ht="13" x14ac:dyDescent="0.15">
      <c r="B534" s="2"/>
      <c r="AO534" s="2"/>
    </row>
    <row r="535" spans="2:41" ht="13" x14ac:dyDescent="0.15">
      <c r="B535" s="2"/>
      <c r="AO535" s="2"/>
    </row>
    <row r="536" spans="2:41" ht="13" x14ac:dyDescent="0.15">
      <c r="B536" s="2"/>
      <c r="AO536" s="2"/>
    </row>
    <row r="537" spans="2:41" ht="13" x14ac:dyDescent="0.15">
      <c r="B537" s="2"/>
      <c r="AO537" s="2"/>
    </row>
    <row r="538" spans="2:41" ht="13" x14ac:dyDescent="0.15">
      <c r="B538" s="2"/>
      <c r="AO538" s="2"/>
    </row>
    <row r="539" spans="2:41" ht="13" x14ac:dyDescent="0.15">
      <c r="B539" s="2"/>
      <c r="AO539" s="2"/>
    </row>
    <row r="540" spans="2:41" ht="13" x14ac:dyDescent="0.15">
      <c r="B540" s="2"/>
      <c r="AO540" s="2"/>
    </row>
    <row r="541" spans="2:41" ht="13" x14ac:dyDescent="0.15">
      <c r="B541" s="2"/>
      <c r="C541" s="2"/>
      <c r="D541" s="2"/>
      <c r="M541" s="2"/>
      <c r="N541" s="2"/>
      <c r="Q541" s="2"/>
      <c r="S541" s="2"/>
      <c r="U541" s="2"/>
      <c r="W541" s="2"/>
      <c r="X541" s="2"/>
      <c r="AO541" s="2"/>
    </row>
    <row r="542" spans="2:41" ht="13" x14ac:dyDescent="0.15">
      <c r="B542" s="2"/>
      <c r="D542" s="2"/>
      <c r="N542" s="2"/>
      <c r="W542" s="2"/>
      <c r="X542" s="2"/>
      <c r="AO542" s="2"/>
    </row>
    <row r="543" spans="2:41" ht="13" x14ac:dyDescent="0.15">
      <c r="B543" s="2"/>
      <c r="AO543" s="2"/>
    </row>
    <row r="544" spans="2:41" ht="13" x14ac:dyDescent="0.15">
      <c r="B544" s="2"/>
      <c r="AO544" s="2"/>
    </row>
    <row r="545" spans="2:41" ht="13" x14ac:dyDescent="0.15">
      <c r="B545" s="2"/>
      <c r="AO545" s="2"/>
    </row>
    <row r="546" spans="2:41" ht="13" x14ac:dyDescent="0.15">
      <c r="B546" s="2"/>
      <c r="AO546" s="2"/>
    </row>
    <row r="547" spans="2:41" ht="13" x14ac:dyDescent="0.15">
      <c r="B547" s="2"/>
      <c r="AO547" s="2"/>
    </row>
    <row r="548" spans="2:41" ht="13" x14ac:dyDescent="0.15">
      <c r="B548" s="2"/>
      <c r="AO548" s="2"/>
    </row>
    <row r="549" spans="2:41" ht="13" x14ac:dyDescent="0.15">
      <c r="B549" s="2"/>
      <c r="D549" s="2"/>
      <c r="AO549" s="2"/>
    </row>
    <row r="550" spans="2:41" ht="13" x14ac:dyDescent="0.15">
      <c r="B550" s="2"/>
      <c r="AO550" s="2"/>
    </row>
    <row r="551" spans="2:41" ht="13" x14ac:dyDescent="0.15">
      <c r="B551" s="2"/>
      <c r="AO551" s="2"/>
    </row>
    <row r="552" spans="2:41" ht="13" x14ac:dyDescent="0.15">
      <c r="B552" s="2"/>
      <c r="AO552" s="2"/>
    </row>
    <row r="553" spans="2:41" ht="13" x14ac:dyDescent="0.15">
      <c r="B553" s="2"/>
      <c r="AO553" s="2"/>
    </row>
    <row r="554" spans="2:41" ht="13" x14ac:dyDescent="0.15">
      <c r="B554" s="2"/>
      <c r="C554" s="2"/>
      <c r="D554" s="2"/>
      <c r="M554" s="2"/>
      <c r="N554" s="2"/>
      <c r="U554" s="2"/>
      <c r="W554" s="2"/>
      <c r="X554" s="2"/>
      <c r="AO554" s="2"/>
    </row>
    <row r="555" spans="2:41" ht="13" x14ac:dyDescent="0.15">
      <c r="B555" s="2"/>
      <c r="AO555" s="2"/>
    </row>
    <row r="556" spans="2:41" ht="13" x14ac:dyDescent="0.15">
      <c r="B556" s="2"/>
      <c r="AO556" s="2"/>
    </row>
    <row r="557" spans="2:41" ht="13" x14ac:dyDescent="0.15">
      <c r="B557" s="2"/>
      <c r="AO557" s="2"/>
    </row>
    <row r="558" spans="2:41" ht="13" x14ac:dyDescent="0.15">
      <c r="B558" s="2"/>
      <c r="AO558" s="2"/>
    </row>
    <row r="559" spans="2:41" ht="13" x14ac:dyDescent="0.15">
      <c r="B559" s="2"/>
      <c r="AO559" s="2"/>
    </row>
    <row r="560" spans="2:41" ht="13" x14ac:dyDescent="0.15">
      <c r="B560" s="2"/>
      <c r="AO560" s="2"/>
    </row>
    <row r="561" spans="2:41" ht="13" x14ac:dyDescent="0.15">
      <c r="B561" s="2"/>
      <c r="D561" s="2"/>
      <c r="AO561" s="2"/>
    </row>
    <row r="562" spans="2:41" ht="13" x14ac:dyDescent="0.15">
      <c r="B562" s="2"/>
      <c r="AO562" s="2"/>
    </row>
    <row r="563" spans="2:41" ht="13" x14ac:dyDescent="0.15">
      <c r="B563" s="2"/>
      <c r="AO563" s="2"/>
    </row>
    <row r="564" spans="2:41" ht="13" x14ac:dyDescent="0.15">
      <c r="B564" s="2"/>
      <c r="AO564" s="2"/>
    </row>
    <row r="565" spans="2:41" ht="13" x14ac:dyDescent="0.15">
      <c r="B565" s="2"/>
      <c r="AO565" s="2"/>
    </row>
    <row r="566" spans="2:41" ht="13" x14ac:dyDescent="0.15">
      <c r="B566" s="2"/>
      <c r="D566" s="2"/>
      <c r="M566" s="2"/>
      <c r="N566" s="2"/>
      <c r="Q566" s="2"/>
      <c r="W566" s="2"/>
      <c r="X566" s="2"/>
      <c r="AG566" s="2"/>
      <c r="AO566" s="2"/>
    </row>
    <row r="567" spans="2:41" ht="13" x14ac:dyDescent="0.15">
      <c r="B567" s="2"/>
      <c r="AO567" s="2"/>
    </row>
    <row r="568" spans="2:41" ht="13" x14ac:dyDescent="0.15">
      <c r="B568" s="2"/>
      <c r="AO568" s="2"/>
    </row>
    <row r="569" spans="2:41" ht="13" x14ac:dyDescent="0.15">
      <c r="B569" s="2"/>
      <c r="AO569" s="2"/>
    </row>
    <row r="570" spans="2:41" ht="13" x14ac:dyDescent="0.15">
      <c r="B570" s="2"/>
      <c r="AO570" s="2"/>
    </row>
    <row r="571" spans="2:41" ht="13" x14ac:dyDescent="0.15">
      <c r="B571" s="2"/>
      <c r="AO571" s="2"/>
    </row>
    <row r="572" spans="2:41" ht="13" x14ac:dyDescent="0.15">
      <c r="B572" s="2"/>
      <c r="AO572" s="2"/>
    </row>
    <row r="573" spans="2:41" ht="13" x14ac:dyDescent="0.15">
      <c r="B573" s="2"/>
      <c r="AO573" s="2"/>
    </row>
    <row r="574" spans="2:41" ht="13" x14ac:dyDescent="0.15">
      <c r="B574" s="2"/>
      <c r="AO574" s="2"/>
    </row>
    <row r="575" spans="2:41" ht="13" x14ac:dyDescent="0.15">
      <c r="B575" s="2"/>
      <c r="AO575" s="2"/>
    </row>
    <row r="576" spans="2:41" ht="13" x14ac:dyDescent="0.15">
      <c r="B576" s="2"/>
      <c r="AO576" s="2"/>
    </row>
    <row r="577" spans="2:41" ht="13" x14ac:dyDescent="0.15">
      <c r="B577" s="2"/>
      <c r="AO577" s="2"/>
    </row>
    <row r="578" spans="2:41" ht="13" x14ac:dyDescent="0.15">
      <c r="B578" s="2"/>
      <c r="AO578" s="2"/>
    </row>
    <row r="579" spans="2:41" ht="13" x14ac:dyDescent="0.15">
      <c r="B579" s="2"/>
      <c r="AO579" s="2"/>
    </row>
    <row r="580" spans="2:41" ht="13" x14ac:dyDescent="0.15">
      <c r="B580" s="2"/>
      <c r="AO580" s="2"/>
    </row>
    <row r="581" spans="2:41" ht="13" x14ac:dyDescent="0.15">
      <c r="B581" s="2"/>
      <c r="AO581" s="2"/>
    </row>
    <row r="582" spans="2:41" ht="13" x14ac:dyDescent="0.15">
      <c r="B582" s="2"/>
      <c r="AO582" s="2"/>
    </row>
    <row r="583" spans="2:41" ht="13" x14ac:dyDescent="0.15">
      <c r="B583" s="2"/>
      <c r="AO583" s="2"/>
    </row>
    <row r="584" spans="2:41" ht="13" x14ac:dyDescent="0.15">
      <c r="B584" s="2"/>
      <c r="AO584" s="2"/>
    </row>
    <row r="585" spans="2:41" ht="13" x14ac:dyDescent="0.15">
      <c r="B585" s="2"/>
      <c r="AO585" s="2"/>
    </row>
    <row r="586" spans="2:41" ht="13" x14ac:dyDescent="0.15">
      <c r="B586" s="2"/>
      <c r="AO586" s="2"/>
    </row>
    <row r="587" spans="2:41" ht="13" x14ac:dyDescent="0.15">
      <c r="B587" s="2"/>
      <c r="AO587" s="2"/>
    </row>
    <row r="588" spans="2:41" ht="13" x14ac:dyDescent="0.15">
      <c r="B588" s="2"/>
      <c r="D588" s="2"/>
      <c r="N588" s="2"/>
      <c r="W588" s="2"/>
      <c r="X588" s="2"/>
      <c r="AO588" s="2"/>
    </row>
    <row r="589" spans="2:41" ht="13" x14ac:dyDescent="0.15">
      <c r="B589" s="2"/>
      <c r="AO589" s="2"/>
    </row>
    <row r="590" spans="2:41" ht="13" x14ac:dyDescent="0.15">
      <c r="B590" s="2"/>
      <c r="AO590" s="2"/>
    </row>
    <row r="591" spans="2:41" ht="13" x14ac:dyDescent="0.15">
      <c r="B591" s="2"/>
      <c r="AO591" s="2"/>
    </row>
    <row r="592" spans="2:41" ht="13" x14ac:dyDescent="0.15">
      <c r="B592" s="2"/>
      <c r="AO592" s="2"/>
    </row>
    <row r="593" spans="2:41" ht="13" x14ac:dyDescent="0.15">
      <c r="B593" s="2"/>
      <c r="AO593" s="2"/>
    </row>
    <row r="594" spans="2:41" ht="13" x14ac:dyDescent="0.15">
      <c r="B594" s="2"/>
      <c r="AO594" s="2"/>
    </row>
    <row r="595" spans="2:41" ht="13" x14ac:dyDescent="0.15">
      <c r="B595" s="2"/>
      <c r="AO595" s="2"/>
    </row>
    <row r="596" spans="2:41" ht="13" x14ac:dyDescent="0.15">
      <c r="B596" s="2"/>
      <c r="AO596" s="2"/>
    </row>
    <row r="597" spans="2:41" ht="13" x14ac:dyDescent="0.15">
      <c r="B597" s="2"/>
      <c r="AO597" s="2"/>
    </row>
    <row r="598" spans="2:41" ht="13" x14ac:dyDescent="0.15">
      <c r="B598" s="2"/>
      <c r="AO598" s="2"/>
    </row>
    <row r="599" spans="2:41" ht="13" x14ac:dyDescent="0.15">
      <c r="B599" s="2"/>
      <c r="AO599" s="2"/>
    </row>
    <row r="600" spans="2:41" ht="13" x14ac:dyDescent="0.15">
      <c r="B600" s="2"/>
      <c r="AO600" s="2"/>
    </row>
    <row r="601" spans="2:41" ht="13" x14ac:dyDescent="0.15">
      <c r="B601" s="2"/>
      <c r="AO601" s="2"/>
    </row>
    <row r="602" spans="2:41" ht="13" x14ac:dyDescent="0.15">
      <c r="B602" s="2"/>
      <c r="AO602" s="2"/>
    </row>
    <row r="603" spans="2:41" ht="13" x14ac:dyDescent="0.15">
      <c r="B603" s="2"/>
      <c r="AO603" s="2"/>
    </row>
    <row r="604" spans="2:41" ht="13" x14ac:dyDescent="0.15">
      <c r="B604" s="2"/>
      <c r="AO604" s="2"/>
    </row>
    <row r="605" spans="2:41" ht="13" x14ac:dyDescent="0.15">
      <c r="B605" s="2"/>
      <c r="AO605" s="2"/>
    </row>
    <row r="606" spans="2:41" ht="13" x14ac:dyDescent="0.15">
      <c r="B606" s="2"/>
      <c r="AO606" s="2"/>
    </row>
    <row r="607" spans="2:41" ht="13" x14ac:dyDescent="0.15">
      <c r="B607" s="2"/>
      <c r="AO607" s="2"/>
    </row>
    <row r="608" spans="2:41" ht="13" x14ac:dyDescent="0.15">
      <c r="B608" s="2"/>
      <c r="AO608" s="2"/>
    </row>
    <row r="609" spans="2:41" ht="13" x14ac:dyDescent="0.15">
      <c r="B609" s="2"/>
      <c r="AO609" s="2"/>
    </row>
    <row r="610" spans="2:41" ht="13" x14ac:dyDescent="0.15">
      <c r="B610" s="2"/>
      <c r="AO610" s="2"/>
    </row>
    <row r="611" spans="2:41" ht="13" x14ac:dyDescent="0.15">
      <c r="B611" s="2"/>
      <c r="AO611" s="2"/>
    </row>
    <row r="612" spans="2:41" ht="13" x14ac:dyDescent="0.15">
      <c r="B612" s="2"/>
      <c r="AO612" s="2"/>
    </row>
    <row r="613" spans="2:41" ht="13" x14ac:dyDescent="0.15">
      <c r="B613" s="2"/>
      <c r="AO613" s="2"/>
    </row>
    <row r="614" spans="2:41" ht="13" x14ac:dyDescent="0.15">
      <c r="B614" s="2"/>
      <c r="AO614" s="2"/>
    </row>
    <row r="615" spans="2:41" ht="13" x14ac:dyDescent="0.15">
      <c r="B615" s="2"/>
      <c r="AO615" s="2"/>
    </row>
    <row r="616" spans="2:41" ht="13" x14ac:dyDescent="0.15">
      <c r="B616" s="2"/>
      <c r="AO616" s="2"/>
    </row>
    <row r="617" spans="2:41" ht="13" x14ac:dyDescent="0.15">
      <c r="B617" s="2"/>
      <c r="AO617" s="2"/>
    </row>
    <row r="618" spans="2:41" ht="13" x14ac:dyDescent="0.15">
      <c r="B618" s="2"/>
      <c r="AO618" s="2"/>
    </row>
    <row r="619" spans="2:41" ht="13" x14ac:dyDescent="0.15">
      <c r="B619" s="2"/>
      <c r="AO619" s="2"/>
    </row>
    <row r="620" spans="2:41" ht="13" x14ac:dyDescent="0.15">
      <c r="B620" s="2"/>
      <c r="N620" s="2"/>
      <c r="W620" s="2"/>
      <c r="AO620" s="2"/>
    </row>
    <row r="621" spans="2:41" ht="13" x14ac:dyDescent="0.15">
      <c r="B621" s="2"/>
      <c r="AO621" s="2"/>
    </row>
    <row r="622" spans="2:41" ht="13" x14ac:dyDescent="0.15">
      <c r="B622" s="2"/>
      <c r="AO622" s="2"/>
    </row>
    <row r="623" spans="2:41" ht="13" x14ac:dyDescent="0.15">
      <c r="B623" s="2"/>
      <c r="AO623" s="2"/>
    </row>
    <row r="624" spans="2:41" ht="13" x14ac:dyDescent="0.15">
      <c r="B624" s="2"/>
      <c r="AO624" s="2"/>
    </row>
    <row r="625" spans="2:41" ht="13" x14ac:dyDescent="0.15">
      <c r="B625" s="2"/>
      <c r="AO625" s="2"/>
    </row>
    <row r="626" spans="2:41" ht="13" x14ac:dyDescent="0.15">
      <c r="B626" s="2"/>
      <c r="AO626" s="2"/>
    </row>
    <row r="627" spans="2:41" ht="13" x14ac:dyDescent="0.15">
      <c r="B627" s="2"/>
      <c r="AO627" s="2"/>
    </row>
    <row r="628" spans="2:41" ht="13" x14ac:dyDescent="0.15">
      <c r="B628" s="2"/>
      <c r="AO628" s="2"/>
    </row>
    <row r="629" spans="2:41" ht="13" x14ac:dyDescent="0.15">
      <c r="B629" s="2"/>
      <c r="AO629" s="2"/>
    </row>
    <row r="630" spans="2:41" ht="13" x14ac:dyDescent="0.15">
      <c r="B630" s="2"/>
      <c r="AO630" s="2"/>
    </row>
    <row r="631" spans="2:41" ht="13" x14ac:dyDescent="0.15">
      <c r="B631" s="2"/>
      <c r="AO631" s="2"/>
    </row>
    <row r="632" spans="2:41" ht="13" x14ac:dyDescent="0.15">
      <c r="B632" s="2"/>
      <c r="AO632" s="2"/>
    </row>
    <row r="633" spans="2:41" ht="13" x14ac:dyDescent="0.15">
      <c r="B633" s="2"/>
      <c r="AO633" s="2"/>
    </row>
    <row r="634" spans="2:41" ht="13" x14ac:dyDescent="0.15">
      <c r="B634" s="2"/>
      <c r="AO634" s="2"/>
    </row>
    <row r="635" spans="2:41" ht="13" x14ac:dyDescent="0.15">
      <c r="B635" s="2"/>
      <c r="AO635" s="2"/>
    </row>
    <row r="636" spans="2:41" ht="13" x14ac:dyDescent="0.15">
      <c r="B636" s="2"/>
      <c r="AO636" s="2"/>
    </row>
    <row r="637" spans="2:41" ht="13" x14ac:dyDescent="0.15">
      <c r="B637" s="2"/>
      <c r="AO637" s="2"/>
    </row>
    <row r="638" spans="2:41" ht="13" x14ac:dyDescent="0.15">
      <c r="B638" s="2"/>
      <c r="AO638" s="2"/>
    </row>
    <row r="639" spans="2:41" ht="13" x14ac:dyDescent="0.15">
      <c r="B639" s="2"/>
      <c r="AO639" s="2"/>
    </row>
    <row r="640" spans="2:41" ht="13" x14ac:dyDescent="0.15">
      <c r="B640" s="2"/>
      <c r="AO640" s="2"/>
    </row>
    <row r="641" spans="2:41" ht="13" x14ac:dyDescent="0.15">
      <c r="B641" s="2"/>
      <c r="AO641" s="2"/>
    </row>
    <row r="642" spans="2:41" ht="13" x14ac:dyDescent="0.15">
      <c r="B642" s="2"/>
      <c r="C642" s="2"/>
      <c r="D642" s="2"/>
      <c r="F642" s="2"/>
      <c r="G642" s="2"/>
      <c r="H642" s="2"/>
      <c r="I642" s="2"/>
      <c r="K642" s="2"/>
      <c r="M642" s="2"/>
      <c r="N642" s="2"/>
      <c r="P642" s="2"/>
      <c r="Q642" s="2"/>
      <c r="R642" s="2"/>
      <c r="S642" s="2"/>
      <c r="T642" s="2"/>
      <c r="U642" s="2"/>
      <c r="W642" s="2"/>
      <c r="X642" s="2"/>
      <c r="AA642" s="2"/>
      <c r="AC642" s="2"/>
      <c r="AD642" s="2"/>
      <c r="AE642" s="2"/>
      <c r="AG642" s="2"/>
      <c r="AO642" s="2"/>
    </row>
    <row r="643" spans="2:41" ht="13" x14ac:dyDescent="0.15">
      <c r="B643" s="2"/>
      <c r="C643" s="2"/>
      <c r="D643" s="2"/>
      <c r="F643" s="2"/>
      <c r="G643" s="2"/>
      <c r="H643" s="2"/>
      <c r="I643" s="2"/>
      <c r="M643" s="2"/>
      <c r="N643" s="2"/>
      <c r="P643" s="2"/>
      <c r="Q643" s="2"/>
      <c r="R643" s="2"/>
      <c r="S643" s="2"/>
      <c r="T643" s="2"/>
      <c r="U643" s="2"/>
      <c r="W643" s="2"/>
      <c r="X643" s="2"/>
      <c r="AA643" s="2"/>
      <c r="AC643" s="2"/>
      <c r="AD643" s="2"/>
      <c r="AG643" s="2"/>
      <c r="AO643" s="2"/>
    </row>
    <row r="644" spans="2:41" ht="13" x14ac:dyDescent="0.15">
      <c r="B644" s="2"/>
      <c r="AO644" s="2"/>
    </row>
    <row r="645" spans="2:41" ht="13" x14ac:dyDescent="0.15">
      <c r="B645" s="2"/>
      <c r="AO645" s="2"/>
    </row>
    <row r="646" spans="2:41" ht="13" x14ac:dyDescent="0.15">
      <c r="B646" s="2"/>
      <c r="AO646" s="2"/>
    </row>
    <row r="647" spans="2:41" ht="13" x14ac:dyDescent="0.15">
      <c r="B647" s="2"/>
      <c r="AO647" s="2"/>
    </row>
    <row r="648" spans="2:41" ht="13" x14ac:dyDescent="0.15">
      <c r="B648" s="2"/>
      <c r="AO648" s="2"/>
    </row>
    <row r="649" spans="2:41" ht="13" x14ac:dyDescent="0.15">
      <c r="B649" s="2"/>
      <c r="AO649" s="2"/>
    </row>
    <row r="650" spans="2:41" ht="13" x14ac:dyDescent="0.15">
      <c r="B650" s="2"/>
      <c r="D650" s="2"/>
      <c r="M650" s="2"/>
      <c r="N650" s="2"/>
      <c r="W650" s="2"/>
      <c r="AO650" s="2"/>
    </row>
    <row r="651" spans="2:41" ht="13" x14ac:dyDescent="0.15">
      <c r="B651" s="2"/>
      <c r="AO651" s="2"/>
    </row>
    <row r="652" spans="2:41" ht="13" x14ac:dyDescent="0.15">
      <c r="B652" s="2"/>
      <c r="AO652" s="2"/>
    </row>
    <row r="653" spans="2:41" ht="13" x14ac:dyDescent="0.15">
      <c r="B653" s="2"/>
      <c r="AO653" s="2"/>
    </row>
    <row r="654" spans="2:41" ht="13" x14ac:dyDescent="0.15">
      <c r="B654" s="2"/>
      <c r="AO654" s="2"/>
    </row>
    <row r="655" spans="2:41" ht="13" x14ac:dyDescent="0.15">
      <c r="B655" s="2"/>
      <c r="C655" s="2"/>
      <c r="D655" s="2"/>
      <c r="M655" s="2"/>
      <c r="N655" s="2"/>
      <c r="W655" s="2"/>
      <c r="AG655" s="2"/>
      <c r="AO655" s="2"/>
    </row>
    <row r="656" spans="2:41" ht="13" x14ac:dyDescent="0.15">
      <c r="B656" s="2"/>
      <c r="D656" s="2"/>
      <c r="M656" s="2"/>
      <c r="W656" s="2"/>
      <c r="AO656" s="2"/>
    </row>
    <row r="657" spans="2:41" ht="13" x14ac:dyDescent="0.15">
      <c r="B657" s="2"/>
      <c r="M657" s="2"/>
      <c r="W657" s="2"/>
      <c r="AO657" s="2"/>
    </row>
    <row r="658" spans="2:41" ht="13" x14ac:dyDescent="0.15">
      <c r="B658" s="2"/>
      <c r="AO658" s="2"/>
    </row>
    <row r="659" spans="2:41" ht="13" x14ac:dyDescent="0.15">
      <c r="B659" s="2"/>
      <c r="AO659" s="2"/>
    </row>
    <row r="660" spans="2:41" ht="13" x14ac:dyDescent="0.15">
      <c r="B660" s="2"/>
      <c r="C660" s="2"/>
      <c r="D660" s="2"/>
      <c r="M660" s="2"/>
      <c r="N660" s="2"/>
      <c r="Q660" s="2"/>
      <c r="U660" s="2"/>
      <c r="W660" s="2"/>
      <c r="X660" s="2"/>
      <c r="AG660" s="2"/>
      <c r="AO660" s="2"/>
    </row>
    <row r="661" spans="2:41" ht="13" x14ac:dyDescent="0.15">
      <c r="B661" s="2"/>
      <c r="M661" s="2"/>
      <c r="W661" s="2"/>
      <c r="AO661" s="2"/>
    </row>
    <row r="662" spans="2:41" ht="13" x14ac:dyDescent="0.15">
      <c r="B662" s="2"/>
      <c r="AO662" s="2"/>
    </row>
    <row r="663" spans="2:41" ht="13" x14ac:dyDescent="0.15">
      <c r="B663" s="2"/>
      <c r="AO663" s="2"/>
    </row>
    <row r="664" spans="2:41" ht="13" x14ac:dyDescent="0.15">
      <c r="B664" s="2"/>
      <c r="AO664" s="2"/>
    </row>
    <row r="665" spans="2:41" ht="13" x14ac:dyDescent="0.15">
      <c r="B665" s="2"/>
      <c r="AO665" s="2"/>
    </row>
    <row r="666" spans="2:41" ht="13" x14ac:dyDescent="0.15">
      <c r="B666" s="2"/>
      <c r="AO666" s="2"/>
    </row>
    <row r="667" spans="2:41" ht="13" x14ac:dyDescent="0.15">
      <c r="B667" s="2"/>
      <c r="AO667" s="2"/>
    </row>
    <row r="668" spans="2:41" ht="13" x14ac:dyDescent="0.15">
      <c r="B668" s="2"/>
      <c r="AO668" s="2"/>
    </row>
    <row r="669" spans="2:41" ht="13" x14ac:dyDescent="0.15">
      <c r="B669" s="2"/>
      <c r="AO669" s="2"/>
    </row>
    <row r="670" spans="2:41" ht="13" x14ac:dyDescent="0.15">
      <c r="B670" s="2"/>
      <c r="AO670" s="2"/>
    </row>
    <row r="671" spans="2:41" ht="13" x14ac:dyDescent="0.15">
      <c r="B671" s="2"/>
      <c r="AO671" s="2"/>
    </row>
    <row r="672" spans="2:41" ht="13" x14ac:dyDescent="0.15">
      <c r="B672" s="2"/>
      <c r="AO672" s="2"/>
    </row>
    <row r="673" spans="2:41" ht="13" x14ac:dyDescent="0.15">
      <c r="B673" s="2"/>
      <c r="C673" s="2"/>
      <c r="D673" s="2"/>
      <c r="M673" s="2"/>
      <c r="N673" s="2"/>
      <c r="Q673" s="2"/>
      <c r="S673" s="2"/>
      <c r="U673" s="2"/>
      <c r="W673" s="2"/>
      <c r="X673" s="2"/>
      <c r="AA673" s="2"/>
      <c r="AE673" s="2"/>
      <c r="AG673" s="2"/>
      <c r="AO673" s="2"/>
    </row>
    <row r="674" spans="2:41" ht="13" x14ac:dyDescent="0.15">
      <c r="B674" s="2"/>
      <c r="D674" s="2"/>
      <c r="M674" s="2"/>
      <c r="N674" s="2"/>
      <c r="W674" s="2"/>
      <c r="AO674" s="2"/>
    </row>
    <row r="675" spans="2:41" ht="13" x14ac:dyDescent="0.15">
      <c r="B675" s="2"/>
      <c r="AO675" s="2"/>
    </row>
    <row r="676" spans="2:41" ht="13" x14ac:dyDescent="0.15">
      <c r="B676" s="2"/>
      <c r="AO676" s="2"/>
    </row>
    <row r="677" spans="2:41" ht="13" x14ac:dyDescent="0.15">
      <c r="B677" s="2"/>
      <c r="AO677" s="2"/>
    </row>
    <row r="678" spans="2:41" ht="13" x14ac:dyDescent="0.15">
      <c r="B678" s="2"/>
      <c r="AO678" s="2"/>
    </row>
    <row r="679" spans="2:41" ht="13" x14ac:dyDescent="0.15">
      <c r="B679" s="2"/>
      <c r="AO679" s="2"/>
    </row>
    <row r="680" spans="2:41" ht="13" x14ac:dyDescent="0.15">
      <c r="B680" s="2"/>
      <c r="AO680" s="2"/>
    </row>
    <row r="681" spans="2:41" ht="13" x14ac:dyDescent="0.15">
      <c r="B681" s="2"/>
      <c r="AO681" s="2"/>
    </row>
    <row r="682" spans="2:41" ht="13" x14ac:dyDescent="0.15">
      <c r="B682" s="2"/>
      <c r="AO682" s="2"/>
    </row>
    <row r="683" spans="2:41" ht="13" x14ac:dyDescent="0.15">
      <c r="B683" s="2"/>
      <c r="AO683" s="2"/>
    </row>
    <row r="684" spans="2:41" ht="13" x14ac:dyDescent="0.15">
      <c r="B684" s="2"/>
      <c r="AO684" s="2"/>
    </row>
    <row r="685" spans="2:41" ht="13" x14ac:dyDescent="0.15">
      <c r="B685" s="2"/>
      <c r="AO685" s="2"/>
    </row>
    <row r="686" spans="2:41" ht="13" x14ac:dyDescent="0.15">
      <c r="B686" s="2"/>
      <c r="AO686" s="2"/>
    </row>
    <row r="687" spans="2:41" ht="13" x14ac:dyDescent="0.15">
      <c r="B687" s="2"/>
      <c r="AO687" s="2"/>
    </row>
    <row r="688" spans="2:41" ht="13" x14ac:dyDescent="0.15">
      <c r="B688" s="2"/>
      <c r="AO688" s="2"/>
    </row>
    <row r="689" spans="2:41" ht="13" x14ac:dyDescent="0.15">
      <c r="B689" s="2"/>
      <c r="AO689" s="2"/>
    </row>
    <row r="690" spans="2:41" ht="13" x14ac:dyDescent="0.15">
      <c r="B690" s="2"/>
      <c r="AO690" s="2"/>
    </row>
    <row r="691" spans="2:41" ht="13" x14ac:dyDescent="0.15">
      <c r="B691" s="2"/>
      <c r="AO691" s="2"/>
    </row>
    <row r="692" spans="2:41" ht="13" x14ac:dyDescent="0.15">
      <c r="B692" s="2"/>
      <c r="AO692" s="2"/>
    </row>
    <row r="693" spans="2:41" ht="13" x14ac:dyDescent="0.15">
      <c r="B693" s="2"/>
      <c r="M693" s="2"/>
      <c r="W693" s="2"/>
      <c r="AO693" s="2"/>
    </row>
    <row r="694" spans="2:41" ht="13" x14ac:dyDescent="0.15">
      <c r="B694" s="2"/>
      <c r="AO694" s="2"/>
    </row>
    <row r="695" spans="2:41" ht="13" x14ac:dyDescent="0.15">
      <c r="B695" s="2"/>
      <c r="AO695" s="2"/>
    </row>
    <row r="696" spans="2:41" ht="13" x14ac:dyDescent="0.15">
      <c r="B696" s="2"/>
      <c r="AO696" s="2"/>
    </row>
    <row r="697" spans="2:41" ht="13" x14ac:dyDescent="0.15">
      <c r="B697" s="2"/>
      <c r="AO697" s="2"/>
    </row>
    <row r="698" spans="2:41" ht="13" x14ac:dyDescent="0.15">
      <c r="B698" s="2"/>
      <c r="AO698" s="2"/>
    </row>
    <row r="699" spans="2:41" ht="13" x14ac:dyDescent="0.15">
      <c r="B699" s="2"/>
      <c r="AO699" s="2"/>
    </row>
    <row r="700" spans="2:41" ht="13" x14ac:dyDescent="0.15">
      <c r="B700" s="2"/>
      <c r="AO700" s="2"/>
    </row>
    <row r="701" spans="2:41" ht="13" x14ac:dyDescent="0.15">
      <c r="B701" s="2"/>
      <c r="AO701" s="2"/>
    </row>
    <row r="702" spans="2:41" ht="13" x14ac:dyDescent="0.15">
      <c r="B702" s="2"/>
      <c r="C702" s="2"/>
      <c r="D702" s="2"/>
      <c r="M702" s="2"/>
      <c r="N702" s="2"/>
      <c r="Q702" s="2"/>
      <c r="U702" s="2"/>
      <c r="W702" s="2"/>
      <c r="X702" s="2"/>
      <c r="AE702" s="2"/>
      <c r="AG702" s="2"/>
      <c r="AO702" s="2"/>
    </row>
    <row r="703" spans="2:41" ht="13" x14ac:dyDescent="0.15">
      <c r="B703" s="2"/>
      <c r="D703" s="2"/>
      <c r="M703" s="2"/>
      <c r="N703" s="2"/>
      <c r="W703" s="2"/>
      <c r="AO703" s="2"/>
    </row>
    <row r="704" spans="2:41" ht="13" x14ac:dyDescent="0.15">
      <c r="B704" s="2"/>
      <c r="AO704" s="2"/>
    </row>
    <row r="705" spans="2:41" ht="13" x14ac:dyDescent="0.15">
      <c r="B705" s="2"/>
      <c r="AO705" s="2"/>
    </row>
    <row r="706" spans="2:41" ht="13" x14ac:dyDescent="0.15">
      <c r="B706" s="2"/>
      <c r="AO706" s="2"/>
    </row>
    <row r="707" spans="2:41" ht="13" x14ac:dyDescent="0.15">
      <c r="B707" s="2"/>
      <c r="AO707" s="2"/>
    </row>
    <row r="708" spans="2:41" ht="13" x14ac:dyDescent="0.15">
      <c r="B708" s="2"/>
      <c r="AO708" s="2"/>
    </row>
    <row r="709" spans="2:41" ht="13" x14ac:dyDescent="0.15">
      <c r="B709" s="2"/>
      <c r="AO709" s="2"/>
    </row>
    <row r="710" spans="2:41" ht="13" x14ac:dyDescent="0.15">
      <c r="B710" s="2"/>
      <c r="AO710" s="2"/>
    </row>
    <row r="711" spans="2:41" ht="13" x14ac:dyDescent="0.15">
      <c r="B711" s="2"/>
      <c r="AO711" s="2"/>
    </row>
    <row r="712" spans="2:41" ht="13" x14ac:dyDescent="0.15">
      <c r="B712" s="2"/>
      <c r="AO712" s="2"/>
    </row>
    <row r="713" spans="2:41" ht="13" x14ac:dyDescent="0.15">
      <c r="B713" s="2"/>
      <c r="AO713" s="2"/>
    </row>
    <row r="714" spans="2:41" ht="13" x14ac:dyDescent="0.15">
      <c r="B714" s="2"/>
      <c r="AO714" s="2"/>
    </row>
    <row r="715" spans="2:41" ht="13" x14ac:dyDescent="0.15">
      <c r="B715" s="2"/>
      <c r="AO715" s="2"/>
    </row>
    <row r="716" spans="2:41" ht="13" x14ac:dyDescent="0.15">
      <c r="B716" s="2"/>
      <c r="AO716" s="2"/>
    </row>
    <row r="717" spans="2:41" ht="13" x14ac:dyDescent="0.15">
      <c r="B717" s="2"/>
      <c r="AO717" s="2"/>
    </row>
    <row r="718" spans="2:41" ht="13" x14ac:dyDescent="0.15">
      <c r="B718" s="2"/>
      <c r="C718" s="2"/>
      <c r="D718" s="2"/>
      <c r="M718" s="2"/>
      <c r="N718" s="2"/>
      <c r="Q718" s="2"/>
      <c r="U718" s="2"/>
      <c r="W718" s="2"/>
      <c r="X718" s="2"/>
      <c r="AG718" s="2"/>
      <c r="AO718" s="2"/>
    </row>
    <row r="719" spans="2:41" ht="13" x14ac:dyDescent="0.15">
      <c r="B719" s="2"/>
      <c r="C719" s="2"/>
      <c r="D719" s="2"/>
      <c r="M719" s="2"/>
      <c r="N719" s="2"/>
      <c r="U719" s="2"/>
      <c r="W719" s="2"/>
      <c r="AO719" s="2"/>
    </row>
    <row r="720" spans="2:41" ht="13" x14ac:dyDescent="0.15">
      <c r="B720" s="2"/>
      <c r="AO720" s="2"/>
    </row>
    <row r="721" spans="2:41" ht="13" x14ac:dyDescent="0.15">
      <c r="B721" s="2"/>
      <c r="N721" s="2"/>
      <c r="AO721" s="2"/>
    </row>
    <row r="722" spans="2:41" ht="13" x14ac:dyDescent="0.15">
      <c r="B722" s="2"/>
      <c r="C722" s="2"/>
      <c r="D722" s="2"/>
      <c r="F722" s="2"/>
      <c r="G722" s="2"/>
      <c r="H722" s="2"/>
      <c r="I722" s="2"/>
      <c r="M722" s="2"/>
      <c r="N722" s="2"/>
      <c r="Q722" s="2"/>
      <c r="S722" s="2"/>
      <c r="U722" s="2"/>
      <c r="W722" s="2"/>
      <c r="X722" s="2"/>
      <c r="AA722" s="2"/>
      <c r="AC722" s="2"/>
      <c r="AG722" s="2"/>
      <c r="AO722" s="2"/>
    </row>
    <row r="723" spans="2:41" ht="13" x14ac:dyDescent="0.15">
      <c r="B723" s="2"/>
      <c r="C723" s="2"/>
      <c r="D723" s="2"/>
      <c r="G723" s="2"/>
      <c r="H723" s="2"/>
      <c r="I723" s="2"/>
      <c r="M723" s="2"/>
      <c r="N723" s="2"/>
      <c r="Q723" s="2"/>
      <c r="S723" s="2"/>
      <c r="W723" s="2"/>
      <c r="X723" s="2"/>
      <c r="AA723" s="2"/>
      <c r="AC723" s="2"/>
      <c r="AG723" s="2"/>
      <c r="AO723" s="2"/>
    </row>
    <row r="724" spans="2:41" ht="13" x14ac:dyDescent="0.15">
      <c r="B724" s="2"/>
      <c r="AO724" s="2"/>
    </row>
    <row r="725" spans="2:41" ht="13" x14ac:dyDescent="0.15">
      <c r="B725" s="2"/>
      <c r="AO725" s="2"/>
    </row>
    <row r="726" spans="2:41" ht="13" x14ac:dyDescent="0.15">
      <c r="B726" s="2"/>
      <c r="AO726" s="2"/>
    </row>
    <row r="727" spans="2:41" ht="13" x14ac:dyDescent="0.15">
      <c r="B727" s="2"/>
      <c r="AO727" s="2"/>
    </row>
    <row r="728" spans="2:41" ht="13" x14ac:dyDescent="0.15">
      <c r="B728" s="2"/>
      <c r="AO728" s="2"/>
    </row>
    <row r="729" spans="2:41" ht="13" x14ac:dyDescent="0.15">
      <c r="B729" s="2"/>
      <c r="AO729" s="2"/>
    </row>
    <row r="730" spans="2:41" ht="13" x14ac:dyDescent="0.15">
      <c r="B730" s="2"/>
      <c r="AO730" s="2"/>
    </row>
    <row r="731" spans="2:41" ht="13" x14ac:dyDescent="0.15">
      <c r="B731" s="2"/>
      <c r="AO731" s="2"/>
    </row>
    <row r="732" spans="2:41" ht="13" x14ac:dyDescent="0.15">
      <c r="B732" s="2"/>
      <c r="AO732" s="2"/>
    </row>
    <row r="733" spans="2:41" ht="13" x14ac:dyDescent="0.15">
      <c r="B733" s="2"/>
      <c r="AO733" s="2"/>
    </row>
    <row r="734" spans="2:41" ht="13" x14ac:dyDescent="0.15">
      <c r="B734" s="2"/>
      <c r="AO734" s="2"/>
    </row>
    <row r="735" spans="2:41" ht="13" x14ac:dyDescent="0.15">
      <c r="B735" s="2"/>
      <c r="C735" s="2"/>
      <c r="D735" s="2"/>
      <c r="M735" s="2"/>
      <c r="N735" s="2"/>
      <c r="S735" s="2"/>
      <c r="U735" s="2"/>
      <c r="W735" s="2"/>
      <c r="X735" s="2"/>
      <c r="AE735" s="2"/>
      <c r="AG735" s="2"/>
      <c r="AO735" s="2"/>
    </row>
    <row r="736" spans="2:41" ht="13" x14ac:dyDescent="0.15">
      <c r="B736" s="2"/>
      <c r="D736" s="2"/>
      <c r="M736" s="2"/>
      <c r="N736" s="2"/>
      <c r="W736" s="2"/>
      <c r="AO736" s="2"/>
    </row>
    <row r="737" spans="2:41" ht="13" x14ac:dyDescent="0.15">
      <c r="B737" s="2"/>
      <c r="D737" s="2"/>
      <c r="W737" s="2"/>
      <c r="AO737" s="2"/>
    </row>
    <row r="738" spans="2:41" ht="13" x14ac:dyDescent="0.15">
      <c r="B738" s="2"/>
      <c r="M738" s="2"/>
      <c r="W738" s="2"/>
      <c r="AO738" s="2"/>
    </row>
    <row r="739" spans="2:41" ht="13" x14ac:dyDescent="0.15">
      <c r="B739" s="2"/>
      <c r="D739" s="2"/>
      <c r="M739" s="2"/>
      <c r="W739" s="2"/>
      <c r="AO739" s="2"/>
    </row>
    <row r="740" spans="2:41" ht="13" x14ac:dyDescent="0.15">
      <c r="B740" s="2"/>
      <c r="AO740" s="2"/>
    </row>
    <row r="741" spans="2:41" ht="13" x14ac:dyDescent="0.15">
      <c r="B741" s="2"/>
      <c r="D741" s="2"/>
      <c r="M741" s="2"/>
      <c r="W741" s="2"/>
      <c r="AO741" s="2"/>
    </row>
    <row r="742" spans="2:41" ht="13" x14ac:dyDescent="0.15">
      <c r="B742" s="2"/>
      <c r="D742" s="2"/>
      <c r="M742" s="2"/>
      <c r="W742" s="2"/>
      <c r="AO742" s="2"/>
    </row>
    <row r="743" spans="2:41" ht="13" x14ac:dyDescent="0.15">
      <c r="B743" s="2"/>
      <c r="C743" s="2"/>
      <c r="D743" s="2"/>
      <c r="M743" s="2"/>
      <c r="N743" s="2"/>
      <c r="W743" s="2"/>
      <c r="AO743" s="2"/>
    </row>
    <row r="744" spans="2:41" ht="13" x14ac:dyDescent="0.15">
      <c r="B744" s="2"/>
      <c r="W744" s="2"/>
      <c r="AO744" s="2"/>
    </row>
    <row r="745" spans="2:41" ht="13" x14ac:dyDescent="0.15">
      <c r="B745" s="2"/>
      <c r="AO745" s="2"/>
    </row>
    <row r="746" spans="2:41" ht="13" x14ac:dyDescent="0.15">
      <c r="B746" s="2"/>
      <c r="AO746" s="2"/>
    </row>
    <row r="747" spans="2:41" ht="13" x14ac:dyDescent="0.15">
      <c r="B747" s="2"/>
      <c r="AO747" s="2"/>
    </row>
    <row r="748" spans="2:41" ht="13" x14ac:dyDescent="0.15">
      <c r="B748" s="2"/>
      <c r="AO748" s="2"/>
    </row>
    <row r="749" spans="2:41" ht="13" x14ac:dyDescent="0.15">
      <c r="B749" s="2"/>
      <c r="AO749" s="2"/>
    </row>
    <row r="750" spans="2:41" ht="13" x14ac:dyDescent="0.15">
      <c r="B750" s="2"/>
      <c r="AO750" s="2"/>
    </row>
    <row r="751" spans="2:41" ht="13" x14ac:dyDescent="0.15">
      <c r="B751" s="2"/>
      <c r="D751" s="2"/>
      <c r="M751" s="2"/>
      <c r="N751" s="2"/>
      <c r="W751" s="2"/>
      <c r="X751" s="2"/>
      <c r="AG751" s="2"/>
      <c r="AO751" s="2"/>
    </row>
    <row r="752" spans="2:41" ht="13" x14ac:dyDescent="0.15">
      <c r="B752" s="2"/>
      <c r="AO752" s="2"/>
    </row>
    <row r="753" spans="2:41" ht="13" x14ac:dyDescent="0.15">
      <c r="B753" s="2"/>
      <c r="AO753" s="2"/>
    </row>
    <row r="754" spans="2:41" ht="13" x14ac:dyDescent="0.15">
      <c r="B754" s="2"/>
      <c r="AO754" s="2"/>
    </row>
    <row r="755" spans="2:41" ht="13" x14ac:dyDescent="0.15">
      <c r="B755" s="2"/>
      <c r="AO755" s="2"/>
    </row>
    <row r="756" spans="2:41" ht="13" x14ac:dyDescent="0.15">
      <c r="B756" s="2"/>
      <c r="AO756" s="2"/>
    </row>
    <row r="757" spans="2:41" ht="13" x14ac:dyDescent="0.15">
      <c r="B757" s="2"/>
      <c r="AO757" s="2"/>
    </row>
    <row r="758" spans="2:41" ht="13" x14ac:dyDescent="0.15">
      <c r="B758" s="2"/>
      <c r="AO758" s="2"/>
    </row>
    <row r="759" spans="2:41" ht="13" x14ac:dyDescent="0.15">
      <c r="B759" s="2"/>
      <c r="AO759" s="2"/>
    </row>
    <row r="760" spans="2:41" ht="13" x14ac:dyDescent="0.15">
      <c r="B760" s="2"/>
      <c r="AO760" s="2"/>
    </row>
    <row r="761" spans="2:41" ht="13" x14ac:dyDescent="0.15">
      <c r="B761" s="2"/>
      <c r="AO761" s="2"/>
    </row>
    <row r="762" spans="2:41" ht="13" x14ac:dyDescent="0.15">
      <c r="B762" s="2"/>
      <c r="AO762" s="2"/>
    </row>
    <row r="763" spans="2:41" ht="13" x14ac:dyDescent="0.15">
      <c r="B763" s="2"/>
      <c r="AO763" s="2"/>
    </row>
    <row r="764" spans="2:41" ht="13" x14ac:dyDescent="0.15">
      <c r="B764" s="2"/>
      <c r="AO764" s="2"/>
    </row>
    <row r="765" spans="2:41" ht="13" x14ac:dyDescent="0.15">
      <c r="B765" s="2"/>
      <c r="M765" s="2"/>
      <c r="W765" s="2"/>
      <c r="AO765" s="2"/>
    </row>
    <row r="766" spans="2:41" ht="13" x14ac:dyDescent="0.15">
      <c r="B766" s="2"/>
      <c r="AO766" s="2"/>
    </row>
    <row r="767" spans="2:41" ht="13" x14ac:dyDescent="0.15">
      <c r="B767" s="2"/>
      <c r="AO767" s="2"/>
    </row>
    <row r="768" spans="2:41" ht="13" x14ac:dyDescent="0.15">
      <c r="B768" s="2"/>
      <c r="AO768" s="2"/>
    </row>
    <row r="769" spans="2:41" ht="13" x14ac:dyDescent="0.15">
      <c r="B769" s="2"/>
      <c r="AO769" s="2"/>
    </row>
    <row r="770" spans="2:41" ht="13" x14ac:dyDescent="0.15">
      <c r="B770" s="2"/>
      <c r="D770" s="2"/>
      <c r="M770" s="2"/>
      <c r="N770" s="2"/>
      <c r="W770" s="2"/>
      <c r="X770" s="2"/>
      <c r="AO770" s="2"/>
    </row>
    <row r="771" spans="2:41" ht="13" x14ac:dyDescent="0.15">
      <c r="B771" s="2"/>
      <c r="AO771" s="2"/>
    </row>
    <row r="772" spans="2:41" ht="13" x14ac:dyDescent="0.15">
      <c r="B772" s="2"/>
      <c r="AO772" s="2"/>
    </row>
    <row r="773" spans="2:41" ht="13" x14ac:dyDescent="0.15">
      <c r="B773" s="2"/>
      <c r="AO773" s="2"/>
    </row>
    <row r="774" spans="2:41" ht="13" x14ac:dyDescent="0.15">
      <c r="B774" s="2"/>
      <c r="AO774" s="2"/>
    </row>
    <row r="775" spans="2:41" ht="13" x14ac:dyDescent="0.15">
      <c r="B775" s="2"/>
      <c r="AO775" s="2"/>
    </row>
    <row r="776" spans="2:41" ht="13" x14ac:dyDescent="0.15">
      <c r="B776" s="2"/>
      <c r="AO776" s="2"/>
    </row>
    <row r="777" spans="2:41" ht="13" x14ac:dyDescent="0.15">
      <c r="B777" s="2"/>
      <c r="AO777" s="2"/>
    </row>
    <row r="778" spans="2:41" ht="13" x14ac:dyDescent="0.15">
      <c r="B778" s="2"/>
      <c r="AO778" s="2"/>
    </row>
    <row r="779" spans="2:41" ht="13" x14ac:dyDescent="0.15">
      <c r="B779" s="2"/>
      <c r="AO779" s="2"/>
    </row>
    <row r="780" spans="2:41" ht="13" x14ac:dyDescent="0.15">
      <c r="B780" s="2"/>
      <c r="AO780" s="2"/>
    </row>
    <row r="781" spans="2:41" ht="13" x14ac:dyDescent="0.15">
      <c r="B781" s="2"/>
      <c r="AO781" s="2"/>
    </row>
    <row r="782" spans="2:41" ht="13" x14ac:dyDescent="0.15">
      <c r="B782" s="2"/>
      <c r="C782" s="2"/>
      <c r="D782" s="2"/>
      <c r="F782" s="2"/>
      <c r="G782" s="2"/>
      <c r="H782" s="2"/>
      <c r="I782" s="2"/>
      <c r="M782" s="2"/>
      <c r="N782" s="2"/>
      <c r="P782" s="2"/>
      <c r="Q782" s="2"/>
      <c r="R782" s="2"/>
      <c r="S782" s="2"/>
      <c r="T782" s="2"/>
      <c r="W782" s="2"/>
      <c r="X782" s="2"/>
      <c r="Z782" s="2"/>
      <c r="AA782" s="2"/>
      <c r="AB782" s="2"/>
      <c r="AC782" s="2"/>
      <c r="AD782" s="2"/>
      <c r="AG782" s="2"/>
      <c r="AH782" s="2"/>
      <c r="AK782" s="2"/>
      <c r="AM782" s="2"/>
      <c r="AO782" s="2"/>
    </row>
    <row r="783" spans="2:41" ht="13" x14ac:dyDescent="0.15">
      <c r="B783" s="2"/>
      <c r="C783" s="2"/>
      <c r="D783" s="2"/>
      <c r="F783" s="2"/>
      <c r="G783" s="2"/>
      <c r="H783" s="2"/>
      <c r="I783" s="2"/>
      <c r="M783" s="2"/>
      <c r="N783" s="2"/>
      <c r="P783" s="2"/>
      <c r="Q783" s="2"/>
      <c r="R783" s="2"/>
      <c r="S783" s="2"/>
      <c r="T783" s="2"/>
      <c r="W783" s="2"/>
      <c r="X783" s="2"/>
      <c r="Z783" s="2"/>
      <c r="AA783" s="2"/>
      <c r="AB783" s="2"/>
      <c r="AC783" s="2"/>
      <c r="AD783" s="2"/>
      <c r="AG783" s="2"/>
      <c r="AH783" s="2"/>
      <c r="AM783" s="2"/>
      <c r="AO783" s="2"/>
    </row>
    <row r="784" spans="2:41" ht="13" x14ac:dyDescent="0.15">
      <c r="B784" s="2"/>
      <c r="D784" s="2"/>
      <c r="G784" s="2"/>
      <c r="H784" s="2"/>
      <c r="I784" s="2"/>
      <c r="N784" s="2"/>
      <c r="P784" s="2"/>
      <c r="Q784" s="2"/>
      <c r="R784" s="2"/>
      <c r="S784" s="2"/>
      <c r="X784" s="2"/>
      <c r="AA784" s="2"/>
      <c r="AB784" s="2"/>
      <c r="AC784" s="2"/>
      <c r="AO784" s="2"/>
    </row>
    <row r="785" spans="2:41" ht="13" x14ac:dyDescent="0.15">
      <c r="B785" s="2"/>
      <c r="D785" s="2"/>
      <c r="N785" s="2"/>
      <c r="Q785" s="2"/>
      <c r="S785" s="2"/>
      <c r="X785" s="2"/>
      <c r="AO785" s="2"/>
    </row>
    <row r="786" spans="2:41" ht="13" x14ac:dyDescent="0.15">
      <c r="B786" s="2"/>
      <c r="D786" s="2"/>
      <c r="G786" s="2"/>
      <c r="H786" s="2"/>
      <c r="I786" s="2"/>
      <c r="N786" s="2"/>
      <c r="Q786" s="2"/>
      <c r="R786" s="2"/>
      <c r="S786" s="2"/>
      <c r="X786" s="2"/>
      <c r="AA786" s="2"/>
      <c r="AC786" s="2"/>
      <c r="AO786" s="2"/>
    </row>
    <row r="787" spans="2:41" ht="13" x14ac:dyDescent="0.15">
      <c r="B787" s="2"/>
      <c r="AO787" s="2"/>
    </row>
    <row r="788" spans="2:41" ht="13" x14ac:dyDescent="0.15">
      <c r="B788" s="2"/>
      <c r="C788" s="2"/>
      <c r="D788" s="2"/>
      <c r="F788" s="2"/>
      <c r="G788" s="2"/>
      <c r="H788" s="2"/>
      <c r="I788" s="2"/>
      <c r="M788" s="2"/>
      <c r="N788" s="2"/>
      <c r="P788" s="2"/>
      <c r="Q788" s="2"/>
      <c r="R788" s="2"/>
      <c r="S788" s="2"/>
      <c r="W788" s="2"/>
      <c r="X788" s="2"/>
      <c r="Z788" s="2"/>
      <c r="AA788" s="2"/>
      <c r="AB788" s="2"/>
      <c r="AC788" s="2"/>
      <c r="AG788" s="2"/>
      <c r="AH788" s="2"/>
      <c r="AO788" s="2"/>
    </row>
    <row r="789" spans="2:41" ht="13" x14ac:dyDescent="0.15">
      <c r="B789" s="2"/>
      <c r="D789" s="2"/>
      <c r="G789" s="2"/>
      <c r="N789" s="2"/>
      <c r="W789" s="2"/>
      <c r="X789" s="2"/>
      <c r="AO789" s="2"/>
    </row>
    <row r="790" spans="2:41" ht="13" x14ac:dyDescent="0.15">
      <c r="B790" s="2"/>
      <c r="C790" s="2"/>
      <c r="D790" s="2"/>
      <c r="F790" s="2"/>
      <c r="G790" s="2"/>
      <c r="H790" s="2"/>
      <c r="I790" s="2"/>
      <c r="M790" s="2"/>
      <c r="N790" s="2"/>
      <c r="P790" s="2"/>
      <c r="Q790" s="2"/>
      <c r="R790" s="2"/>
      <c r="S790" s="2"/>
      <c r="T790" s="2"/>
      <c r="U790" s="2"/>
      <c r="W790" s="2"/>
      <c r="X790" s="2"/>
      <c r="Z790" s="2"/>
      <c r="AA790" s="2"/>
      <c r="AB790" s="2"/>
      <c r="AC790" s="2"/>
      <c r="AD790" s="2"/>
      <c r="AG790" s="2"/>
      <c r="AH790" s="2"/>
      <c r="AM790" s="2"/>
      <c r="AO790" s="2"/>
    </row>
    <row r="791" spans="2:41" ht="13" x14ac:dyDescent="0.15">
      <c r="B791" s="2"/>
      <c r="D791" s="2"/>
      <c r="F791" s="2"/>
      <c r="G791" s="2"/>
      <c r="H791" s="2"/>
      <c r="I791" s="2"/>
      <c r="M791" s="2"/>
      <c r="N791" s="2"/>
      <c r="P791" s="2"/>
      <c r="Q791" s="2"/>
      <c r="S791" s="2"/>
      <c r="T791" s="2"/>
      <c r="W791" s="2"/>
      <c r="X791" s="2"/>
      <c r="AA791" s="2"/>
      <c r="AC791" s="2"/>
      <c r="AO791" s="2"/>
    </row>
    <row r="792" spans="2:41" ht="13" x14ac:dyDescent="0.15">
      <c r="B792" s="2"/>
      <c r="AO792" s="2"/>
    </row>
    <row r="793" spans="2:41" ht="13" x14ac:dyDescent="0.15">
      <c r="B793" s="2"/>
      <c r="AO793" s="2"/>
    </row>
    <row r="794" spans="2:41" ht="13" x14ac:dyDescent="0.15">
      <c r="B794" s="2"/>
      <c r="D794" s="2"/>
      <c r="H794" s="2"/>
      <c r="I794" s="2"/>
      <c r="M794" s="2"/>
      <c r="N794" s="2"/>
      <c r="Q794" s="2"/>
      <c r="S794" s="2"/>
      <c r="W794" s="2"/>
      <c r="X794" s="2"/>
      <c r="AC794" s="2"/>
      <c r="AO794" s="2"/>
    </row>
    <row r="795" spans="2:41" ht="13" x14ac:dyDescent="0.15">
      <c r="B795" s="2"/>
      <c r="D795" s="2"/>
      <c r="F795" s="2"/>
      <c r="G795" s="2"/>
      <c r="H795" s="2"/>
      <c r="I795" s="2"/>
      <c r="M795" s="2"/>
      <c r="N795" s="2"/>
      <c r="P795" s="2"/>
      <c r="Q795" s="2"/>
      <c r="S795" s="2"/>
      <c r="W795" s="2"/>
      <c r="X795" s="2"/>
      <c r="AA795" s="2"/>
      <c r="AC795" s="2"/>
      <c r="AO795" s="2"/>
    </row>
    <row r="796" spans="2:41" ht="13" x14ac:dyDescent="0.15">
      <c r="B796" s="2"/>
      <c r="D796" s="2"/>
      <c r="F796" s="2"/>
      <c r="G796" s="2"/>
      <c r="H796" s="2"/>
      <c r="I796" s="2"/>
      <c r="M796" s="2"/>
      <c r="N796" s="2"/>
      <c r="P796" s="2"/>
      <c r="Q796" s="2"/>
      <c r="S796" s="2"/>
      <c r="W796" s="2"/>
      <c r="X796" s="2"/>
      <c r="AA796" s="2"/>
      <c r="AC796" s="2"/>
      <c r="AO796" s="2"/>
    </row>
    <row r="797" spans="2:41" ht="13" x14ac:dyDescent="0.15">
      <c r="B797" s="2"/>
      <c r="AO797" s="2"/>
    </row>
    <row r="798" spans="2:41" ht="13" x14ac:dyDescent="0.15">
      <c r="B798" s="2"/>
      <c r="D798" s="2"/>
      <c r="H798" s="2"/>
      <c r="I798" s="2"/>
      <c r="N798" s="2"/>
      <c r="Q798" s="2"/>
      <c r="S798" s="2"/>
      <c r="T798" s="2"/>
      <c r="X798" s="2"/>
      <c r="AA798" s="2"/>
      <c r="AC798" s="2"/>
      <c r="AD798" s="2"/>
      <c r="AO798" s="2"/>
    </row>
    <row r="799" spans="2:41" ht="13" x14ac:dyDescent="0.15">
      <c r="B799" s="2"/>
      <c r="W799" s="2"/>
      <c r="AO799" s="2"/>
    </row>
    <row r="800" spans="2:41" ht="13" x14ac:dyDescent="0.15">
      <c r="B800" s="2"/>
      <c r="AO800" s="2"/>
    </row>
    <row r="801" spans="2:41" ht="13" x14ac:dyDescent="0.15">
      <c r="B801" s="2"/>
      <c r="AO801" s="2"/>
    </row>
    <row r="802" spans="2:41" ht="13" x14ac:dyDescent="0.15">
      <c r="B802" s="2"/>
      <c r="AO802" s="2"/>
    </row>
    <row r="803" spans="2:41" ht="13" x14ac:dyDescent="0.15">
      <c r="B803" s="2"/>
      <c r="AO803" s="2"/>
    </row>
    <row r="804" spans="2:41" ht="13" x14ac:dyDescent="0.15">
      <c r="B804" s="2"/>
      <c r="AO804" s="2"/>
    </row>
    <row r="805" spans="2:41" ht="13" x14ac:dyDescent="0.15">
      <c r="B805" s="2"/>
      <c r="AO805" s="2"/>
    </row>
    <row r="806" spans="2:41" ht="13" x14ac:dyDescent="0.15">
      <c r="B806" s="2"/>
      <c r="AO806" s="2"/>
    </row>
    <row r="807" spans="2:41" ht="13" x14ac:dyDescent="0.15">
      <c r="B807" s="2"/>
      <c r="D807" s="2"/>
      <c r="M807" s="2"/>
      <c r="N807" s="2"/>
      <c r="W807" s="2"/>
      <c r="X807" s="2"/>
      <c r="AO807" s="2"/>
    </row>
    <row r="808" spans="2:41" ht="13" x14ac:dyDescent="0.15">
      <c r="B808" s="2"/>
      <c r="D808" s="2"/>
      <c r="N808" s="2"/>
      <c r="X808" s="2"/>
      <c r="AO808" s="2"/>
    </row>
    <row r="809" spans="2:41" ht="13" x14ac:dyDescent="0.15">
      <c r="B809" s="2"/>
      <c r="AO809" s="2"/>
    </row>
    <row r="810" spans="2:41" ht="13" x14ac:dyDescent="0.15">
      <c r="B810" s="2"/>
      <c r="AO810" s="2"/>
    </row>
    <row r="811" spans="2:41" ht="13" x14ac:dyDescent="0.15">
      <c r="B811" s="2"/>
      <c r="AO811" s="2"/>
    </row>
    <row r="812" spans="2:41" ht="13" x14ac:dyDescent="0.15">
      <c r="B812" s="2"/>
      <c r="AO812" s="2"/>
    </row>
    <row r="813" spans="2:41" ht="13" x14ac:dyDescent="0.15">
      <c r="B813" s="2"/>
      <c r="AO813" s="2"/>
    </row>
    <row r="814" spans="2:41" ht="13" x14ac:dyDescent="0.15">
      <c r="B814" s="2"/>
      <c r="AO814" s="2"/>
    </row>
    <row r="815" spans="2:41" ht="13" x14ac:dyDescent="0.15">
      <c r="B815" s="2"/>
      <c r="AO815" s="2"/>
    </row>
    <row r="816" spans="2:41" ht="13" x14ac:dyDescent="0.15">
      <c r="B816" s="2"/>
      <c r="AO816" s="2"/>
    </row>
    <row r="817" spans="2:41" ht="13" x14ac:dyDescent="0.15">
      <c r="B817" s="2"/>
      <c r="D817" s="2"/>
      <c r="M817" s="2"/>
      <c r="N817" s="2"/>
      <c r="U817" s="2"/>
      <c r="W817" s="2"/>
      <c r="X817" s="2"/>
      <c r="AO817" s="2"/>
    </row>
    <row r="818" spans="2:41" ht="13" x14ac:dyDescent="0.15">
      <c r="B818" s="2"/>
      <c r="D818" s="2"/>
      <c r="N818" s="2"/>
      <c r="AO818" s="2"/>
    </row>
    <row r="819" spans="2:41" ht="13" x14ac:dyDescent="0.15">
      <c r="B819" s="2"/>
      <c r="AO819" s="2"/>
    </row>
    <row r="820" spans="2:41" ht="13" x14ac:dyDescent="0.15">
      <c r="B820" s="2"/>
      <c r="AO820" s="2"/>
    </row>
    <row r="821" spans="2:41" ht="13" x14ac:dyDescent="0.15">
      <c r="B821" s="2"/>
      <c r="AO821" s="2"/>
    </row>
    <row r="822" spans="2:41" ht="13" x14ac:dyDescent="0.15">
      <c r="B822" s="2"/>
      <c r="AO822" s="2"/>
    </row>
    <row r="823" spans="2:41" ht="13" x14ac:dyDescent="0.15">
      <c r="B823" s="2"/>
      <c r="AO823" s="2"/>
    </row>
    <row r="824" spans="2:41" ht="13" x14ac:dyDescent="0.15">
      <c r="B824" s="2"/>
      <c r="AO824" s="2"/>
    </row>
    <row r="825" spans="2:41" ht="13" x14ac:dyDescent="0.15">
      <c r="B825" s="2"/>
      <c r="AO825" s="2"/>
    </row>
    <row r="826" spans="2:41" ht="13" x14ac:dyDescent="0.15">
      <c r="B826" s="2"/>
      <c r="N826" s="2"/>
      <c r="W826" s="2"/>
      <c r="AO826" s="2"/>
    </row>
    <row r="827" spans="2:41" ht="13" x14ac:dyDescent="0.15">
      <c r="B827" s="2"/>
      <c r="AO827" s="2"/>
    </row>
    <row r="828" spans="2:41" ht="13" x14ac:dyDescent="0.15">
      <c r="B828" s="2"/>
      <c r="AO828" s="2"/>
    </row>
    <row r="829" spans="2:41" ht="13" x14ac:dyDescent="0.15">
      <c r="B829" s="2"/>
      <c r="AO829" s="2"/>
    </row>
    <row r="830" spans="2:41" ht="13" x14ac:dyDescent="0.15">
      <c r="B830" s="2"/>
      <c r="AO830" s="2"/>
    </row>
    <row r="831" spans="2:41" ht="13" x14ac:dyDescent="0.15">
      <c r="B831" s="2"/>
      <c r="AO831" s="2"/>
    </row>
    <row r="832" spans="2:41" ht="13" x14ac:dyDescent="0.15">
      <c r="B832" s="2"/>
      <c r="AO832" s="2"/>
    </row>
    <row r="833" spans="2:41" ht="13" x14ac:dyDescent="0.15">
      <c r="B833" s="2"/>
      <c r="AO833" s="2"/>
    </row>
    <row r="834" spans="2:41" ht="13" x14ac:dyDescent="0.15">
      <c r="B834" s="2"/>
      <c r="AO834" s="2"/>
    </row>
    <row r="835" spans="2:41" ht="13" x14ac:dyDescent="0.15">
      <c r="B835" s="2"/>
      <c r="D835" s="2"/>
      <c r="G835" s="2"/>
      <c r="M835" s="2"/>
      <c r="N835" s="2"/>
      <c r="Q835" s="2"/>
      <c r="S835" s="2"/>
      <c r="U835" s="2"/>
      <c r="W835" s="2"/>
      <c r="X835" s="2"/>
      <c r="AA835" s="2"/>
      <c r="AC835" s="2"/>
      <c r="AE835" s="2"/>
      <c r="AG835" s="2"/>
      <c r="AO835" s="2"/>
    </row>
    <row r="836" spans="2:41" ht="13" x14ac:dyDescent="0.15">
      <c r="B836" s="2"/>
      <c r="D836" s="2"/>
      <c r="G836" s="2"/>
      <c r="M836" s="2"/>
      <c r="N836" s="2"/>
      <c r="Q836" s="2"/>
      <c r="S836" s="2"/>
      <c r="W836" s="2"/>
      <c r="X836" s="2"/>
      <c r="AO836" s="2"/>
    </row>
    <row r="837" spans="2:41" ht="13" x14ac:dyDescent="0.15">
      <c r="B837" s="2"/>
      <c r="AO837" s="2"/>
    </row>
    <row r="838" spans="2:41" ht="13" x14ac:dyDescent="0.15">
      <c r="B838" s="2"/>
      <c r="AO838" s="2"/>
    </row>
    <row r="839" spans="2:41" ht="13" x14ac:dyDescent="0.15">
      <c r="B839" s="2"/>
      <c r="AO839" s="2"/>
    </row>
    <row r="840" spans="2:41" ht="13" x14ac:dyDescent="0.15">
      <c r="B840" s="2"/>
      <c r="AO840" s="2"/>
    </row>
    <row r="841" spans="2:41" ht="13" x14ac:dyDescent="0.15">
      <c r="B841" s="2"/>
      <c r="AO841" s="2"/>
    </row>
    <row r="842" spans="2:41" ht="13" x14ac:dyDescent="0.15">
      <c r="B842" s="2"/>
      <c r="AO842" s="2"/>
    </row>
    <row r="843" spans="2:41" ht="13" x14ac:dyDescent="0.15">
      <c r="B843" s="2"/>
      <c r="AO843" s="2"/>
    </row>
    <row r="844" spans="2:41" ht="13" x14ac:dyDescent="0.15">
      <c r="B844" s="2"/>
      <c r="D844" s="2"/>
      <c r="M844" s="2"/>
      <c r="N844" s="2"/>
      <c r="U844" s="2"/>
      <c r="W844" s="2"/>
      <c r="X844" s="2"/>
      <c r="AO844" s="2"/>
    </row>
    <row r="845" spans="2:41" ht="13" x14ac:dyDescent="0.15">
      <c r="B845" s="2"/>
      <c r="W845" s="2"/>
      <c r="AO845" s="2"/>
    </row>
    <row r="846" spans="2:41" ht="13" x14ac:dyDescent="0.15">
      <c r="B846" s="2"/>
      <c r="AO846" s="2"/>
    </row>
    <row r="847" spans="2:41" ht="13" x14ac:dyDescent="0.15">
      <c r="B847" s="2"/>
      <c r="AO847" s="2"/>
    </row>
    <row r="848" spans="2:41" ht="13" x14ac:dyDescent="0.15">
      <c r="B848" s="2"/>
      <c r="AO848" s="2"/>
    </row>
    <row r="849" spans="2:41" ht="13" x14ac:dyDescent="0.15">
      <c r="B849" s="2"/>
      <c r="AO849" s="2"/>
    </row>
    <row r="850" spans="2:41" ht="13" x14ac:dyDescent="0.15">
      <c r="B850" s="2"/>
      <c r="AO850" s="2"/>
    </row>
    <row r="851" spans="2:41" ht="13" x14ac:dyDescent="0.15">
      <c r="B851" s="2"/>
      <c r="AO851" s="2"/>
    </row>
    <row r="852" spans="2:41" ht="13" x14ac:dyDescent="0.15">
      <c r="B852" s="2"/>
      <c r="AO852" s="2"/>
    </row>
    <row r="853" spans="2:41" ht="13" x14ac:dyDescent="0.15">
      <c r="B853" s="2"/>
      <c r="D853" s="2"/>
      <c r="M853" s="2"/>
      <c r="N853" s="2"/>
      <c r="Q853" s="2"/>
      <c r="W853" s="2"/>
      <c r="X853" s="2"/>
      <c r="AO853" s="2"/>
    </row>
    <row r="854" spans="2:41" ht="13" x14ac:dyDescent="0.15">
      <c r="B854" s="2"/>
      <c r="D854" s="2"/>
      <c r="N854" s="2"/>
      <c r="Q854" s="2"/>
      <c r="W854" s="2"/>
      <c r="X854" s="2"/>
      <c r="AO854" s="2"/>
    </row>
    <row r="855" spans="2:41" ht="13" x14ac:dyDescent="0.15">
      <c r="B855" s="2"/>
      <c r="AO855" s="2"/>
    </row>
    <row r="856" spans="2:41" ht="13" x14ac:dyDescent="0.15">
      <c r="B856" s="2"/>
      <c r="AO856" s="2"/>
    </row>
    <row r="857" spans="2:41" ht="13" x14ac:dyDescent="0.15">
      <c r="B857" s="2"/>
      <c r="AO857" s="2"/>
    </row>
    <row r="858" spans="2:41" ht="13" x14ac:dyDescent="0.15">
      <c r="B858" s="2"/>
      <c r="AO858" s="2"/>
    </row>
    <row r="859" spans="2:41" ht="13" x14ac:dyDescent="0.15">
      <c r="B859" s="2"/>
      <c r="AO859" s="2"/>
    </row>
    <row r="860" spans="2:41" ht="13" x14ac:dyDescent="0.15">
      <c r="B860" s="2"/>
      <c r="AO860" s="2"/>
    </row>
    <row r="861" spans="2:41" ht="13" x14ac:dyDescent="0.15">
      <c r="B861" s="2"/>
      <c r="AO861" s="2"/>
    </row>
    <row r="862" spans="2:41" ht="13" x14ac:dyDescent="0.15">
      <c r="B862" s="2"/>
      <c r="C862" s="2"/>
      <c r="D862" s="2"/>
      <c r="G862" s="2"/>
      <c r="I862" s="2"/>
      <c r="M862" s="2"/>
      <c r="N862" s="2"/>
      <c r="Q862" s="2"/>
      <c r="S862" s="2"/>
      <c r="U862" s="2"/>
      <c r="W862" s="2"/>
      <c r="X862" s="2"/>
      <c r="AA862" s="2"/>
      <c r="AC862" s="2"/>
      <c r="AE862" s="2"/>
      <c r="AG862" s="2"/>
      <c r="AO862" s="2"/>
    </row>
    <row r="863" spans="2:41" ht="13" x14ac:dyDescent="0.15">
      <c r="B863" s="2"/>
      <c r="D863" s="2"/>
      <c r="N863" s="2"/>
      <c r="X863" s="2"/>
      <c r="AO863" s="2"/>
    </row>
    <row r="864" spans="2:41" ht="13" x14ac:dyDescent="0.15">
      <c r="B864" s="2"/>
      <c r="D864" s="2"/>
      <c r="M864" s="2"/>
      <c r="N864" s="2"/>
      <c r="W864" s="2"/>
      <c r="X864" s="2"/>
      <c r="AO864" s="2"/>
    </row>
    <row r="865" spans="2:41" ht="13" x14ac:dyDescent="0.15">
      <c r="B865" s="2"/>
      <c r="AO865" s="2"/>
    </row>
    <row r="866" spans="2:41" ht="13" x14ac:dyDescent="0.15">
      <c r="B866" s="2"/>
      <c r="AO866" s="2"/>
    </row>
    <row r="867" spans="2:41" ht="13" x14ac:dyDescent="0.15">
      <c r="B867" s="2"/>
      <c r="AO867" s="2"/>
    </row>
    <row r="868" spans="2:41" ht="13" x14ac:dyDescent="0.15">
      <c r="B868" s="2"/>
      <c r="AO868" s="2"/>
    </row>
    <row r="869" spans="2:41" ht="13" x14ac:dyDescent="0.15">
      <c r="B869" s="2"/>
      <c r="D869" s="2"/>
      <c r="N869" s="2"/>
      <c r="AO869" s="2"/>
    </row>
    <row r="870" spans="2:41" ht="13" x14ac:dyDescent="0.15">
      <c r="B870" s="2"/>
      <c r="AO870" s="2"/>
    </row>
    <row r="871" spans="2:41" ht="13" x14ac:dyDescent="0.15">
      <c r="B871" s="2"/>
      <c r="AO871" s="2"/>
    </row>
    <row r="872" spans="2:41" ht="13" x14ac:dyDescent="0.15">
      <c r="B872" s="2"/>
      <c r="D872" s="2"/>
      <c r="N872" s="2"/>
      <c r="AO872" s="2"/>
    </row>
    <row r="873" spans="2:41" ht="13" x14ac:dyDescent="0.15">
      <c r="B873" s="2"/>
      <c r="AO873" s="2"/>
    </row>
    <row r="874" spans="2:41" ht="13" x14ac:dyDescent="0.15">
      <c r="B874" s="2"/>
      <c r="AO874" s="2"/>
    </row>
    <row r="875" spans="2:41" ht="13" x14ac:dyDescent="0.15">
      <c r="B875" s="2"/>
      <c r="AO875" s="2"/>
    </row>
    <row r="876" spans="2:41" ht="13" x14ac:dyDescent="0.15">
      <c r="B876" s="2"/>
      <c r="AO876" s="2"/>
    </row>
    <row r="877" spans="2:41" ht="13" x14ac:dyDescent="0.15">
      <c r="B877" s="2"/>
      <c r="D877" s="2"/>
      <c r="M877" s="2"/>
      <c r="N877" s="2"/>
      <c r="W877" s="2"/>
      <c r="AO877" s="2"/>
    </row>
    <row r="878" spans="2:41" ht="13" x14ac:dyDescent="0.15">
      <c r="B878" s="2"/>
      <c r="AO878" s="2"/>
    </row>
    <row r="879" spans="2:41" ht="13" x14ac:dyDescent="0.15">
      <c r="B879" s="2"/>
      <c r="AO879" s="2"/>
    </row>
    <row r="880" spans="2:41" ht="13" x14ac:dyDescent="0.15">
      <c r="B880" s="2"/>
      <c r="AO880" s="2"/>
    </row>
    <row r="881" spans="2:41" ht="13" x14ac:dyDescent="0.15">
      <c r="B881" s="2"/>
      <c r="AO881" s="2"/>
    </row>
    <row r="882" spans="2:41" ht="13" x14ac:dyDescent="0.15">
      <c r="B882" s="2"/>
      <c r="AO882" s="2"/>
    </row>
    <row r="883" spans="2:41" ht="13" x14ac:dyDescent="0.15">
      <c r="B883" s="2"/>
      <c r="AO883" s="2"/>
    </row>
    <row r="884" spans="2:41" ht="13" x14ac:dyDescent="0.15">
      <c r="B884" s="2"/>
      <c r="AO884" s="2"/>
    </row>
    <row r="885" spans="2:41" ht="13" x14ac:dyDescent="0.15">
      <c r="B885" s="2"/>
      <c r="AO885" s="2"/>
    </row>
    <row r="886" spans="2:41" ht="13" x14ac:dyDescent="0.15">
      <c r="B886" s="2"/>
      <c r="AO886" s="2"/>
    </row>
    <row r="887" spans="2:41" ht="13" x14ac:dyDescent="0.15">
      <c r="B887" s="2"/>
      <c r="D887" s="2"/>
      <c r="M887" s="2"/>
      <c r="N887" s="2"/>
      <c r="U887" s="2"/>
      <c r="W887" s="2"/>
      <c r="AO887" s="2"/>
    </row>
    <row r="888" spans="2:41" ht="13" x14ac:dyDescent="0.15">
      <c r="B888" s="2"/>
      <c r="AO888" s="2"/>
    </row>
    <row r="889" spans="2:41" ht="13" x14ac:dyDescent="0.15">
      <c r="B889" s="2"/>
      <c r="AO889" s="2"/>
    </row>
    <row r="890" spans="2:41" ht="13" x14ac:dyDescent="0.15">
      <c r="B890" s="2"/>
      <c r="AO890" s="2"/>
    </row>
    <row r="891" spans="2:41" ht="13" x14ac:dyDescent="0.15">
      <c r="B891" s="2"/>
      <c r="AO891" s="2"/>
    </row>
    <row r="892" spans="2:41" ht="13" x14ac:dyDescent="0.15">
      <c r="B892" s="2"/>
      <c r="AO892" s="2"/>
    </row>
    <row r="893" spans="2:41" ht="13" x14ac:dyDescent="0.15">
      <c r="B893" s="2"/>
      <c r="AO893" s="2"/>
    </row>
    <row r="894" spans="2:41" ht="13" x14ac:dyDescent="0.15">
      <c r="B894" s="2"/>
      <c r="D894" s="2"/>
      <c r="M894" s="2"/>
      <c r="N894" s="2"/>
      <c r="U894" s="2"/>
      <c r="W894" s="2"/>
      <c r="X894" s="2"/>
      <c r="AO894" s="2"/>
    </row>
    <row r="895" spans="2:41" ht="13" x14ac:dyDescent="0.15">
      <c r="B895" s="2"/>
      <c r="AO895" s="2"/>
    </row>
    <row r="896" spans="2:41" ht="13" x14ac:dyDescent="0.15">
      <c r="B896" s="2"/>
      <c r="AO896" s="2"/>
    </row>
    <row r="897" spans="2:41" ht="13" x14ac:dyDescent="0.15">
      <c r="B897" s="2"/>
      <c r="AO897" s="2"/>
    </row>
    <row r="898" spans="2:41" ht="13" x14ac:dyDescent="0.15">
      <c r="B898" s="2"/>
      <c r="AO898" s="2"/>
    </row>
    <row r="899" spans="2:41" ht="13" x14ac:dyDescent="0.15">
      <c r="B899" s="2"/>
      <c r="AO899" s="2"/>
    </row>
    <row r="900" spans="2:41" ht="13" x14ac:dyDescent="0.15">
      <c r="B900" s="2"/>
      <c r="AO900" s="2"/>
    </row>
    <row r="901" spans="2:41" ht="13" x14ac:dyDescent="0.15">
      <c r="B901" s="2"/>
      <c r="AO901" s="2"/>
    </row>
    <row r="902" spans="2:41" ht="13" x14ac:dyDescent="0.15">
      <c r="B902" s="2"/>
      <c r="AO902" s="2"/>
    </row>
    <row r="903" spans="2:41" ht="13" x14ac:dyDescent="0.15">
      <c r="B903" s="2"/>
      <c r="AO903" s="2"/>
    </row>
    <row r="904" spans="2:41" ht="13" x14ac:dyDescent="0.15">
      <c r="B904" s="2"/>
      <c r="AO904" s="2"/>
    </row>
    <row r="905" spans="2:41" ht="13" x14ac:dyDescent="0.15">
      <c r="B905" s="2"/>
      <c r="AO905" s="2"/>
    </row>
    <row r="906" spans="2:41" ht="13" x14ac:dyDescent="0.15">
      <c r="B906" s="2"/>
      <c r="AO906" s="2"/>
    </row>
    <row r="907" spans="2:41" ht="13" x14ac:dyDescent="0.15">
      <c r="B907" s="2"/>
      <c r="D907" s="2"/>
      <c r="G907" s="2"/>
      <c r="M907" s="2"/>
      <c r="N907" s="2"/>
      <c r="Q907" s="2"/>
      <c r="S907" s="2"/>
      <c r="W907" s="2"/>
      <c r="X907" s="2"/>
      <c r="AO907" s="2"/>
    </row>
    <row r="908" spans="2:41" ht="13" x14ac:dyDescent="0.15">
      <c r="B908" s="2"/>
      <c r="D908" s="2"/>
      <c r="N908" s="2"/>
      <c r="AO908" s="2"/>
    </row>
    <row r="909" spans="2:41" ht="13" x14ac:dyDescent="0.15">
      <c r="B909" s="2"/>
      <c r="AO909" s="2"/>
    </row>
    <row r="910" spans="2:41" ht="13" x14ac:dyDescent="0.15">
      <c r="B910" s="2"/>
      <c r="AO910" s="2"/>
    </row>
    <row r="911" spans="2:41" ht="13" x14ac:dyDescent="0.15">
      <c r="B911" s="2"/>
      <c r="AO911" s="2"/>
    </row>
    <row r="912" spans="2:41" ht="13" x14ac:dyDescent="0.15">
      <c r="B912" s="2"/>
      <c r="AO912" s="2"/>
    </row>
    <row r="913" spans="2:41" ht="13" x14ac:dyDescent="0.15">
      <c r="B913" s="2"/>
      <c r="AO913" s="2"/>
    </row>
    <row r="914" spans="2:41" ht="13" x14ac:dyDescent="0.15">
      <c r="B914" s="2"/>
      <c r="AO914" s="2"/>
    </row>
    <row r="915" spans="2:41" ht="13" x14ac:dyDescent="0.15">
      <c r="B915" s="2"/>
      <c r="D915" s="2"/>
      <c r="G915" s="2"/>
      <c r="I915" s="2"/>
      <c r="M915" s="2"/>
      <c r="N915" s="2"/>
      <c r="Q915" s="2"/>
      <c r="S915" s="2"/>
      <c r="U915" s="2"/>
      <c r="W915" s="2"/>
      <c r="X915" s="2"/>
      <c r="AA915" s="2"/>
      <c r="AC915" s="2"/>
      <c r="AE915" s="2"/>
      <c r="AG915" s="2"/>
      <c r="AO915" s="2"/>
    </row>
    <row r="916" spans="2:41" ht="13" x14ac:dyDescent="0.15">
      <c r="B916" s="2"/>
      <c r="D916" s="2"/>
      <c r="I916" s="2"/>
      <c r="N916" s="2"/>
      <c r="Q916" s="2"/>
      <c r="S916" s="2"/>
      <c r="X916" s="2"/>
      <c r="AC916" s="2"/>
      <c r="AO916" s="2"/>
    </row>
    <row r="917" spans="2:41" ht="13" x14ac:dyDescent="0.15">
      <c r="B917" s="2"/>
      <c r="AO917" s="2"/>
    </row>
    <row r="918" spans="2:41" ht="13" x14ac:dyDescent="0.15">
      <c r="B918" s="2"/>
      <c r="AO918" s="2"/>
    </row>
    <row r="919" spans="2:41" ht="13" x14ac:dyDescent="0.15">
      <c r="B919" s="2"/>
      <c r="AO919" s="2"/>
    </row>
    <row r="920" spans="2:41" ht="13" x14ac:dyDescent="0.15">
      <c r="B920" s="2"/>
      <c r="AO920" s="2"/>
    </row>
    <row r="921" spans="2:41" ht="13" x14ac:dyDescent="0.15">
      <c r="B921" s="2"/>
      <c r="AO921" s="2"/>
    </row>
    <row r="922" spans="2:41" ht="13" x14ac:dyDescent="0.15">
      <c r="B922" s="2"/>
      <c r="AO922" s="2"/>
    </row>
    <row r="923" spans="2:41" ht="13" x14ac:dyDescent="0.15">
      <c r="B923" s="2"/>
      <c r="AO923" s="2"/>
    </row>
    <row r="924" spans="2:41" ht="13" x14ac:dyDescent="0.15">
      <c r="B924" s="2"/>
      <c r="AO924" s="2"/>
    </row>
    <row r="925" spans="2:41" ht="13" x14ac:dyDescent="0.15">
      <c r="B925" s="2"/>
      <c r="AO925" s="2"/>
    </row>
    <row r="926" spans="2:41" ht="13" x14ac:dyDescent="0.15">
      <c r="B926" s="2"/>
      <c r="AO926" s="2"/>
    </row>
    <row r="927" spans="2:41" ht="13" x14ac:dyDescent="0.15">
      <c r="B927" s="2"/>
      <c r="AO927" s="2"/>
    </row>
    <row r="928" spans="2:41" ht="13" x14ac:dyDescent="0.15">
      <c r="B928" s="2"/>
      <c r="AO928" s="2"/>
    </row>
    <row r="929" spans="2:41" ht="13" x14ac:dyDescent="0.15">
      <c r="B929" s="2"/>
      <c r="AO929" s="2"/>
    </row>
    <row r="930" spans="2:41" ht="13" x14ac:dyDescent="0.15">
      <c r="B930" s="2"/>
      <c r="AO930" s="2"/>
    </row>
    <row r="931" spans="2:41" ht="13" x14ac:dyDescent="0.15">
      <c r="B931" s="2"/>
      <c r="AO931" s="2"/>
    </row>
    <row r="932" spans="2:41" ht="13" x14ac:dyDescent="0.15">
      <c r="B932" s="2"/>
      <c r="AO932" s="2"/>
    </row>
    <row r="933" spans="2:41" ht="13" x14ac:dyDescent="0.15">
      <c r="B933" s="2"/>
      <c r="AO933" s="2"/>
    </row>
    <row r="934" spans="2:41" ht="13" x14ac:dyDescent="0.15">
      <c r="B934" s="2"/>
      <c r="AO934" s="2"/>
    </row>
    <row r="935" spans="2:41" ht="13" x14ac:dyDescent="0.15">
      <c r="B935" s="2"/>
      <c r="D935" s="2"/>
      <c r="M935" s="2"/>
      <c r="N935" s="2"/>
      <c r="W935" s="2"/>
      <c r="AO935" s="2"/>
    </row>
    <row r="936" spans="2:41" ht="13" x14ac:dyDescent="0.15">
      <c r="B936" s="2"/>
      <c r="AO936" s="2"/>
    </row>
    <row r="937" spans="2:41" ht="13" x14ac:dyDescent="0.15">
      <c r="B937" s="2"/>
      <c r="AO937" s="2"/>
    </row>
    <row r="938" spans="2:41" ht="13" x14ac:dyDescent="0.15">
      <c r="B938" s="2"/>
      <c r="AO938" s="2"/>
    </row>
    <row r="939" spans="2:41" ht="13" x14ac:dyDescent="0.15">
      <c r="B939" s="2"/>
      <c r="AO939" s="2"/>
    </row>
    <row r="940" spans="2:41" ht="13" x14ac:dyDescent="0.15">
      <c r="B940" s="2"/>
      <c r="AO940" s="2"/>
    </row>
    <row r="941" spans="2:41" ht="13" x14ac:dyDescent="0.15">
      <c r="B941" s="2"/>
      <c r="AO941" s="2"/>
    </row>
    <row r="942" spans="2:41" ht="13" x14ac:dyDescent="0.15">
      <c r="B942" s="2"/>
      <c r="AO942" s="2"/>
    </row>
    <row r="943" spans="2:41" ht="13" x14ac:dyDescent="0.15">
      <c r="B943" s="2"/>
      <c r="AO943" s="2"/>
    </row>
    <row r="944" spans="2:41" ht="13" x14ac:dyDescent="0.15">
      <c r="B944" s="2"/>
      <c r="D944" s="2"/>
      <c r="M944" s="2"/>
      <c r="N944" s="2"/>
      <c r="W944" s="2"/>
      <c r="AO944" s="2"/>
    </row>
    <row r="945" spans="2:41" ht="13" x14ac:dyDescent="0.15">
      <c r="B945" s="2"/>
      <c r="AO945" s="2"/>
    </row>
    <row r="946" spans="2:41" ht="13" x14ac:dyDescent="0.15">
      <c r="B946" s="2"/>
      <c r="AO946" s="2"/>
    </row>
    <row r="947" spans="2:41" ht="13" x14ac:dyDescent="0.15">
      <c r="B947" s="2"/>
      <c r="AO947" s="2"/>
    </row>
    <row r="948" spans="2:41" ht="13" x14ac:dyDescent="0.15">
      <c r="B948" s="2"/>
      <c r="AO948" s="2"/>
    </row>
    <row r="949" spans="2:41" ht="13" x14ac:dyDescent="0.15">
      <c r="B949" s="2"/>
      <c r="AO949" s="2"/>
    </row>
    <row r="950" spans="2:41" ht="13" x14ac:dyDescent="0.15">
      <c r="B950" s="2"/>
      <c r="AO950" s="2"/>
    </row>
    <row r="951" spans="2:41" ht="13" x14ac:dyDescent="0.15">
      <c r="B951" s="2"/>
      <c r="AO951" s="2"/>
    </row>
    <row r="952" spans="2:41" ht="13" x14ac:dyDescent="0.15">
      <c r="B952" s="2"/>
      <c r="AO952" s="2"/>
    </row>
    <row r="953" spans="2:41" ht="13" x14ac:dyDescent="0.15">
      <c r="B953" s="2"/>
      <c r="AO953" s="2"/>
    </row>
    <row r="954" spans="2:41" ht="13" x14ac:dyDescent="0.15">
      <c r="B954" s="2"/>
      <c r="AO954" s="2"/>
    </row>
    <row r="955" spans="2:41" ht="13" x14ac:dyDescent="0.15">
      <c r="B955" s="2"/>
      <c r="AO955" s="2"/>
    </row>
    <row r="956" spans="2:41" ht="13" x14ac:dyDescent="0.15">
      <c r="B956" s="2"/>
      <c r="AO956" s="2"/>
    </row>
    <row r="957" spans="2:41" ht="13" x14ac:dyDescent="0.15">
      <c r="B957" s="2"/>
      <c r="AO957" s="2"/>
    </row>
    <row r="958" spans="2:41" ht="13" x14ac:dyDescent="0.15">
      <c r="B958" s="2"/>
      <c r="AO958" s="2"/>
    </row>
    <row r="959" spans="2:41" ht="13" x14ac:dyDescent="0.15">
      <c r="B959" s="2"/>
      <c r="AO959" s="2"/>
    </row>
    <row r="960" spans="2:41" ht="13" x14ac:dyDescent="0.15">
      <c r="B960" s="2"/>
      <c r="AO960" s="2"/>
    </row>
    <row r="961" spans="2:41" ht="13" x14ac:dyDescent="0.15">
      <c r="B961" s="2"/>
      <c r="AO961" s="2"/>
    </row>
    <row r="962" spans="2:41" ht="13" x14ac:dyDescent="0.15">
      <c r="B962" s="2"/>
      <c r="AO962" s="2"/>
    </row>
    <row r="963" spans="2:41" ht="13" x14ac:dyDescent="0.15">
      <c r="B963" s="2"/>
      <c r="AO963" s="2"/>
    </row>
    <row r="964" spans="2:41" ht="13" x14ac:dyDescent="0.15">
      <c r="B964" s="2"/>
      <c r="AO964" s="2"/>
    </row>
    <row r="965" spans="2:41" ht="13" x14ac:dyDescent="0.15">
      <c r="B965" s="2"/>
      <c r="AO965" s="2"/>
    </row>
    <row r="966" spans="2:41" ht="13" x14ac:dyDescent="0.15">
      <c r="B966" s="2"/>
      <c r="AO966" s="2"/>
    </row>
    <row r="967" spans="2:41" ht="13" x14ac:dyDescent="0.15">
      <c r="B967" s="2"/>
      <c r="AO967" s="2"/>
    </row>
    <row r="968" spans="2:41" ht="13" x14ac:dyDescent="0.15">
      <c r="B968" s="2"/>
      <c r="AO968" s="2"/>
    </row>
    <row r="969" spans="2:41" ht="13" x14ac:dyDescent="0.15">
      <c r="B969" s="2"/>
      <c r="AO969" s="2"/>
    </row>
    <row r="970" spans="2:41" ht="13" x14ac:dyDescent="0.15">
      <c r="B970" s="2"/>
      <c r="AO970" s="2"/>
    </row>
    <row r="971" spans="2:41" ht="13" x14ac:dyDescent="0.15">
      <c r="B971" s="2"/>
      <c r="D971" s="2"/>
      <c r="M971" s="2"/>
      <c r="N971" s="2"/>
      <c r="W971" s="2"/>
      <c r="AO971" s="2"/>
    </row>
    <row r="972" spans="2:41" ht="13" x14ac:dyDescent="0.15">
      <c r="B972" s="2"/>
      <c r="AO972" s="2"/>
    </row>
    <row r="973" spans="2:41" ht="13" x14ac:dyDescent="0.15">
      <c r="B973" s="2"/>
      <c r="AO973" s="2"/>
    </row>
    <row r="974" spans="2:41" ht="13" x14ac:dyDescent="0.15">
      <c r="B974" s="2"/>
      <c r="AO974" s="2"/>
    </row>
    <row r="975" spans="2:41" ht="13" x14ac:dyDescent="0.15">
      <c r="B975" s="2"/>
      <c r="AO975" s="2"/>
    </row>
    <row r="976" spans="2:41" ht="13" x14ac:dyDescent="0.15">
      <c r="B976" s="2"/>
      <c r="AO976" s="2"/>
    </row>
    <row r="977" spans="2:41" ht="13" x14ac:dyDescent="0.15">
      <c r="B977" s="2"/>
      <c r="AO977" s="2"/>
    </row>
    <row r="978" spans="2:41" ht="13" x14ac:dyDescent="0.15">
      <c r="B978" s="2"/>
      <c r="AO978" s="2"/>
    </row>
    <row r="979" spans="2:41" ht="13" x14ac:dyDescent="0.15">
      <c r="B979" s="2"/>
      <c r="AO979" s="2"/>
    </row>
    <row r="980" spans="2:41" ht="13" x14ac:dyDescent="0.15">
      <c r="B980" s="2"/>
      <c r="AO980" s="2"/>
    </row>
    <row r="981" spans="2:41" ht="13" x14ac:dyDescent="0.15">
      <c r="B981" s="2"/>
      <c r="AO981" s="2"/>
    </row>
    <row r="982" spans="2:41" ht="13" x14ac:dyDescent="0.15">
      <c r="B982" s="2"/>
      <c r="AO982" s="2"/>
    </row>
    <row r="983" spans="2:41" ht="13" x14ac:dyDescent="0.15">
      <c r="B983" s="2"/>
      <c r="AO983" s="2"/>
    </row>
    <row r="984" spans="2:41" ht="13" x14ac:dyDescent="0.15">
      <c r="B984" s="2"/>
      <c r="AO984" s="2"/>
    </row>
    <row r="985" spans="2:41" ht="13" x14ac:dyDescent="0.15">
      <c r="B985" s="2"/>
      <c r="AO985" s="2"/>
    </row>
    <row r="986" spans="2:41" ht="13" x14ac:dyDescent="0.15">
      <c r="B986" s="2"/>
      <c r="AO986" s="2"/>
    </row>
    <row r="987" spans="2:41" ht="13" x14ac:dyDescent="0.15">
      <c r="B987" s="2"/>
      <c r="AO987" s="2"/>
    </row>
    <row r="988" spans="2:41" ht="13" x14ac:dyDescent="0.15">
      <c r="B988" s="2"/>
      <c r="AO988" s="2"/>
    </row>
    <row r="989" spans="2:41" ht="13" x14ac:dyDescent="0.15">
      <c r="B989" s="2"/>
      <c r="AO989" s="2"/>
    </row>
    <row r="990" spans="2:41" ht="13" x14ac:dyDescent="0.15">
      <c r="B990" s="2"/>
      <c r="AO990" s="2"/>
    </row>
    <row r="991" spans="2:41" ht="13" x14ac:dyDescent="0.15">
      <c r="B991" s="2"/>
      <c r="AO991" s="2"/>
    </row>
    <row r="992" spans="2:41" ht="13" x14ac:dyDescent="0.15">
      <c r="B992" s="2"/>
      <c r="AO992" s="2"/>
    </row>
    <row r="993" spans="2:41" ht="13" x14ac:dyDescent="0.15">
      <c r="B993" s="2"/>
      <c r="AO993" s="2"/>
    </row>
    <row r="994" spans="2:41" ht="13" x14ac:dyDescent="0.15">
      <c r="B994" s="2"/>
      <c r="AO994" s="2"/>
    </row>
    <row r="995" spans="2:41" ht="13" x14ac:dyDescent="0.15">
      <c r="B995" s="2"/>
      <c r="AO995" s="2"/>
    </row>
    <row r="996" spans="2:41" ht="13" x14ac:dyDescent="0.15">
      <c r="B996" s="2"/>
      <c r="AO996" s="2"/>
    </row>
    <row r="997" spans="2:41" ht="13" x14ac:dyDescent="0.15">
      <c r="B997" s="2"/>
      <c r="AO997" s="2"/>
    </row>
    <row r="998" spans="2:41" ht="13" x14ac:dyDescent="0.15">
      <c r="B998" s="2"/>
      <c r="AO998" s="2"/>
    </row>
    <row r="999" spans="2:41" ht="13" x14ac:dyDescent="0.15">
      <c r="B999" s="2"/>
      <c r="AO999" s="2"/>
    </row>
    <row r="1000" spans="2:41" ht="13" x14ac:dyDescent="0.15">
      <c r="B1000" s="2"/>
      <c r="C1000" s="2"/>
      <c r="D1000" s="2"/>
      <c r="M1000" s="2"/>
      <c r="N1000" s="2"/>
      <c r="U1000" s="2"/>
      <c r="W1000" s="2"/>
      <c r="X1000" s="2"/>
      <c r="AE1000" s="2"/>
      <c r="AG1000" s="2"/>
      <c r="AO1000" s="2"/>
    </row>
    <row r="1001" spans="2:41" ht="13" x14ac:dyDescent="0.15">
      <c r="B1001" s="2"/>
      <c r="AO1001" s="2"/>
    </row>
    <row r="1002" spans="2:41" ht="13" x14ac:dyDescent="0.15">
      <c r="B1002" s="2"/>
      <c r="AO1002" s="2"/>
    </row>
    <row r="1003" spans="2:41" ht="13" x14ac:dyDescent="0.15">
      <c r="B1003" s="2"/>
      <c r="AO1003" s="2"/>
    </row>
    <row r="1004" spans="2:41" ht="13" x14ac:dyDescent="0.15">
      <c r="B1004" s="2"/>
      <c r="AO1004" s="2"/>
    </row>
    <row r="1005" spans="2:41" ht="13" x14ac:dyDescent="0.15">
      <c r="B1005" s="2"/>
      <c r="AO1005" s="2"/>
    </row>
    <row r="1006" spans="2:41" ht="13" x14ac:dyDescent="0.15">
      <c r="B1006" s="2"/>
      <c r="AO1006" s="2"/>
    </row>
    <row r="1007" spans="2:41" ht="13" x14ac:dyDescent="0.15">
      <c r="B1007" s="2"/>
      <c r="AO1007" s="2"/>
    </row>
    <row r="1008" spans="2:41" ht="13" x14ac:dyDescent="0.15">
      <c r="B1008" s="2"/>
      <c r="AO1008" s="2"/>
    </row>
    <row r="1009" spans="2:41" ht="13" x14ac:dyDescent="0.15">
      <c r="B1009" s="2"/>
      <c r="AO1009" s="2"/>
    </row>
    <row r="1010" spans="2:41" ht="13" x14ac:dyDescent="0.15">
      <c r="B1010" s="2"/>
      <c r="AO1010" s="2"/>
    </row>
    <row r="1011" spans="2:41" ht="13" x14ac:dyDescent="0.15">
      <c r="B1011" s="2"/>
      <c r="AO1011" s="2"/>
    </row>
    <row r="1012" spans="2:41" ht="13" x14ac:dyDescent="0.15">
      <c r="B1012" s="2"/>
      <c r="AO1012" s="2"/>
    </row>
    <row r="1013" spans="2:41" ht="13" x14ac:dyDescent="0.15">
      <c r="B1013" s="2"/>
      <c r="AO1013" s="2"/>
    </row>
    <row r="1014" spans="2:41" ht="13" x14ac:dyDescent="0.15">
      <c r="B1014" s="2"/>
      <c r="AO1014" s="2"/>
    </row>
    <row r="1015" spans="2:41" ht="13" x14ac:dyDescent="0.15">
      <c r="B1015" s="2"/>
      <c r="AO1015" s="2"/>
    </row>
    <row r="1016" spans="2:41" ht="13" x14ac:dyDescent="0.15">
      <c r="B1016" s="2"/>
      <c r="AO1016" s="2"/>
    </row>
    <row r="1017" spans="2:41" ht="13" x14ac:dyDescent="0.15">
      <c r="B1017" s="2"/>
      <c r="AO1017" s="2"/>
    </row>
    <row r="1018" spans="2:41" ht="13" x14ac:dyDescent="0.15">
      <c r="B1018" s="2"/>
      <c r="AO1018" s="2"/>
    </row>
    <row r="1019" spans="2:41" ht="13" x14ac:dyDescent="0.15">
      <c r="B1019" s="2"/>
      <c r="AO1019" s="2"/>
    </row>
    <row r="1020" spans="2:41" ht="13" x14ac:dyDescent="0.15">
      <c r="B1020" s="2"/>
      <c r="AO1020" s="2"/>
    </row>
    <row r="1021" spans="2:41" ht="13" x14ac:dyDescent="0.15">
      <c r="B1021" s="2"/>
      <c r="AO1021" s="2"/>
    </row>
    <row r="1022" spans="2:41" ht="13" x14ac:dyDescent="0.15">
      <c r="B1022" s="2"/>
      <c r="C1022" s="2"/>
      <c r="D1022" s="2"/>
      <c r="F1022" s="2"/>
      <c r="G1022" s="2"/>
      <c r="H1022" s="2"/>
      <c r="I1022" s="2"/>
      <c r="K1022" s="2"/>
      <c r="M1022" s="2"/>
      <c r="N1022" s="2"/>
      <c r="P1022" s="2"/>
      <c r="Q1022" s="2"/>
      <c r="R1022" s="2"/>
      <c r="S1022" s="2"/>
      <c r="T1022" s="2"/>
      <c r="U1022" s="2"/>
      <c r="W1022" s="2"/>
      <c r="X1022" s="2"/>
      <c r="AA1022" s="2"/>
      <c r="AC1022" s="2"/>
      <c r="AD1022" s="2"/>
      <c r="AE1022" s="2"/>
      <c r="AG1022" s="2"/>
      <c r="AH1022" s="2"/>
      <c r="AO1022" s="2"/>
    </row>
    <row r="1023" spans="2:41" ht="13" x14ac:dyDescent="0.15">
      <c r="B1023" s="2"/>
      <c r="D1023" s="2"/>
      <c r="H1023" s="2"/>
      <c r="I1023" s="2"/>
      <c r="M1023" s="2"/>
      <c r="N1023" s="2"/>
      <c r="Q1023" s="2"/>
      <c r="S1023" s="2"/>
      <c r="W1023" s="2"/>
      <c r="X1023" s="2"/>
      <c r="AC1023" s="2"/>
      <c r="AO1023" s="2"/>
    </row>
    <row r="1024" spans="2:41" ht="13" x14ac:dyDescent="0.15">
      <c r="B1024" s="2"/>
      <c r="D1024" s="2"/>
      <c r="H1024" s="2"/>
      <c r="I1024" s="2"/>
      <c r="M1024" s="2"/>
      <c r="N1024" s="2"/>
      <c r="Q1024" s="2"/>
      <c r="S1024" s="2"/>
      <c r="W1024" s="2"/>
      <c r="X1024" s="2"/>
      <c r="AC1024" s="2"/>
      <c r="AO1024" s="2"/>
    </row>
    <row r="1025" spans="2:41" ht="13" x14ac:dyDescent="0.15">
      <c r="B1025" s="2"/>
      <c r="AO1025" s="2"/>
    </row>
    <row r="1026" spans="2:41" ht="13" x14ac:dyDescent="0.15">
      <c r="B1026" s="2"/>
      <c r="AO1026" s="2"/>
    </row>
    <row r="1027" spans="2:41" ht="13" x14ac:dyDescent="0.15">
      <c r="B1027" s="2"/>
      <c r="AO1027" s="2"/>
    </row>
    <row r="1028" spans="2:41" ht="13" x14ac:dyDescent="0.15">
      <c r="B1028" s="2"/>
      <c r="AO1028" s="2"/>
    </row>
    <row r="1029" spans="2:41" ht="13" x14ac:dyDescent="0.15">
      <c r="B1029" s="2"/>
      <c r="AO1029" s="2"/>
    </row>
    <row r="1030" spans="2:41" ht="13" x14ac:dyDescent="0.15">
      <c r="B1030" s="2"/>
      <c r="AO1030" s="2"/>
    </row>
    <row r="1031" spans="2:41" ht="13" x14ac:dyDescent="0.15">
      <c r="B1031" s="2"/>
      <c r="M1031" s="2"/>
      <c r="AO1031" s="2"/>
    </row>
    <row r="1032" spans="2:41" ht="13" x14ac:dyDescent="0.15">
      <c r="B1032" s="2"/>
      <c r="AO1032" s="2"/>
    </row>
    <row r="1033" spans="2:41" ht="13" x14ac:dyDescent="0.15">
      <c r="B1033" s="2"/>
      <c r="D1033" s="2"/>
      <c r="I1033" s="2"/>
      <c r="N1033" s="2"/>
      <c r="S1033" s="2"/>
      <c r="W1033" s="2"/>
      <c r="X1033" s="2"/>
      <c r="AO1033" s="2"/>
    </row>
    <row r="1034" spans="2:41" ht="13" x14ac:dyDescent="0.15">
      <c r="B1034" s="2"/>
      <c r="AO1034" s="2"/>
    </row>
    <row r="1035" spans="2:41" ht="13" x14ac:dyDescent="0.15">
      <c r="B1035" s="2"/>
      <c r="AO1035" s="2"/>
    </row>
    <row r="1036" spans="2:41" ht="13" x14ac:dyDescent="0.15">
      <c r="B1036" s="2"/>
      <c r="D1036" s="2"/>
      <c r="M1036" s="2"/>
      <c r="N1036" s="2"/>
      <c r="W1036" s="2"/>
      <c r="X1036" s="2"/>
      <c r="AO1036" s="2"/>
    </row>
    <row r="1037" spans="2:41" ht="13" x14ac:dyDescent="0.15">
      <c r="B1037" s="2"/>
      <c r="D1037" s="2"/>
      <c r="AO1037" s="2"/>
    </row>
    <row r="1038" spans="2:41" ht="13" x14ac:dyDescent="0.15">
      <c r="B1038" s="2"/>
      <c r="AO1038" s="2"/>
    </row>
    <row r="1039" spans="2:41" ht="13" x14ac:dyDescent="0.15">
      <c r="B1039" s="2"/>
      <c r="AO1039" s="2"/>
    </row>
    <row r="1040" spans="2:41" ht="13" x14ac:dyDescent="0.15">
      <c r="B1040" s="2"/>
      <c r="AO1040" s="2"/>
    </row>
    <row r="1041" spans="2:41" ht="13" x14ac:dyDescent="0.15">
      <c r="B1041" s="2"/>
      <c r="AO1041" s="2"/>
    </row>
    <row r="1042" spans="2:41" ht="13" x14ac:dyDescent="0.15">
      <c r="B1042" s="2"/>
      <c r="AO1042" s="2"/>
    </row>
    <row r="1043" spans="2:41" ht="13" x14ac:dyDescent="0.15">
      <c r="B1043" s="2"/>
      <c r="AO1043" s="2"/>
    </row>
    <row r="1044" spans="2:41" ht="13" x14ac:dyDescent="0.15">
      <c r="B1044" s="2"/>
      <c r="AO1044" s="2"/>
    </row>
    <row r="1045" spans="2:41" ht="13" x14ac:dyDescent="0.15">
      <c r="B1045" s="2"/>
      <c r="D1045" s="2"/>
      <c r="W1045" s="2"/>
      <c r="AO1045" s="2"/>
    </row>
    <row r="1046" spans="2:41" ht="13" x14ac:dyDescent="0.15">
      <c r="B1046" s="2"/>
      <c r="AO1046" s="2"/>
    </row>
    <row r="1047" spans="2:41" ht="13" x14ac:dyDescent="0.15">
      <c r="B1047" s="2"/>
      <c r="AO1047" s="2"/>
    </row>
    <row r="1048" spans="2:41" ht="13" x14ac:dyDescent="0.15">
      <c r="B1048" s="2"/>
      <c r="AO1048" s="2"/>
    </row>
    <row r="1049" spans="2:41" ht="13" x14ac:dyDescent="0.15">
      <c r="B1049" s="2"/>
      <c r="AO1049" s="2"/>
    </row>
    <row r="1050" spans="2:41" ht="13" x14ac:dyDescent="0.15">
      <c r="B1050" s="2"/>
      <c r="AO1050" s="2"/>
    </row>
    <row r="1051" spans="2:41" ht="13" x14ac:dyDescent="0.15">
      <c r="B1051" s="2"/>
      <c r="AO1051" s="2"/>
    </row>
    <row r="1052" spans="2:41" ht="13" x14ac:dyDescent="0.15">
      <c r="B1052" s="2"/>
      <c r="AO1052" s="2"/>
    </row>
    <row r="1053" spans="2:41" ht="13" x14ac:dyDescent="0.15">
      <c r="B1053" s="2"/>
      <c r="AO1053" s="2"/>
    </row>
    <row r="1054" spans="2:41" ht="13" x14ac:dyDescent="0.15">
      <c r="B1054" s="2"/>
      <c r="AO1054" s="2"/>
    </row>
    <row r="1055" spans="2:41" ht="13" x14ac:dyDescent="0.15">
      <c r="B1055" s="2"/>
      <c r="AO1055" s="2"/>
    </row>
    <row r="1056" spans="2:41" ht="13" x14ac:dyDescent="0.15">
      <c r="B1056" s="2"/>
      <c r="AO1056" s="2"/>
    </row>
    <row r="1057" spans="2:41" ht="13" x14ac:dyDescent="0.15">
      <c r="B1057" s="2"/>
      <c r="AO1057" s="2"/>
    </row>
    <row r="1058" spans="2:41" ht="13" x14ac:dyDescent="0.15">
      <c r="B1058" s="2"/>
      <c r="AO1058" s="2"/>
    </row>
    <row r="1059" spans="2:41" ht="13" x14ac:dyDescent="0.15">
      <c r="B1059" s="2"/>
      <c r="AO1059" s="2"/>
    </row>
    <row r="1060" spans="2:41" ht="13" x14ac:dyDescent="0.15">
      <c r="B1060" s="2"/>
      <c r="D1060" s="2"/>
      <c r="M1060" s="2"/>
      <c r="N1060" s="2"/>
      <c r="W1060" s="2"/>
      <c r="X1060" s="2"/>
      <c r="AG1060" s="2"/>
      <c r="AO1060" s="2"/>
    </row>
    <row r="1061" spans="2:41" ht="13" x14ac:dyDescent="0.15">
      <c r="B1061" s="2"/>
      <c r="AO1061" s="2"/>
    </row>
    <row r="1062" spans="2:41" ht="13" x14ac:dyDescent="0.15">
      <c r="B1062" s="2"/>
      <c r="AO1062" s="2"/>
    </row>
    <row r="1063" spans="2:41" ht="13" x14ac:dyDescent="0.15">
      <c r="B1063" s="2"/>
      <c r="AO1063" s="2"/>
    </row>
    <row r="1064" spans="2:41" ht="13" x14ac:dyDescent="0.15">
      <c r="B1064" s="2"/>
      <c r="AO1064" s="2"/>
    </row>
    <row r="1065" spans="2:41" ht="13" x14ac:dyDescent="0.15">
      <c r="B1065" s="2"/>
      <c r="AO1065" s="2"/>
    </row>
    <row r="1066" spans="2:41" ht="13" x14ac:dyDescent="0.15">
      <c r="B1066" s="2"/>
      <c r="AO1066" s="2"/>
    </row>
    <row r="1067" spans="2:41" ht="13" x14ac:dyDescent="0.15">
      <c r="B1067" s="2"/>
      <c r="AO1067" s="2"/>
    </row>
    <row r="1068" spans="2:41" ht="13" x14ac:dyDescent="0.15">
      <c r="B1068" s="2"/>
      <c r="AO1068" s="2"/>
    </row>
    <row r="1069" spans="2:41" ht="13" x14ac:dyDescent="0.15">
      <c r="B1069" s="2"/>
      <c r="AO1069" s="2"/>
    </row>
    <row r="1070" spans="2:41" ht="13" x14ac:dyDescent="0.15">
      <c r="B1070" s="2"/>
      <c r="AO1070" s="2"/>
    </row>
    <row r="1071" spans="2:41" ht="13" x14ac:dyDescent="0.15">
      <c r="B1071" s="2"/>
      <c r="AO1071" s="2"/>
    </row>
    <row r="1072" spans="2:41" ht="13" x14ac:dyDescent="0.15">
      <c r="B1072" s="2"/>
      <c r="C1072" s="2"/>
      <c r="D1072" s="2"/>
      <c r="G1072" s="2"/>
      <c r="H1072" s="2"/>
      <c r="I1072" s="2"/>
      <c r="M1072" s="2"/>
      <c r="N1072" s="2"/>
      <c r="Q1072" s="2"/>
      <c r="S1072" s="2"/>
      <c r="U1072" s="2"/>
      <c r="W1072" s="2"/>
      <c r="X1072" s="2"/>
      <c r="AC1072" s="2"/>
      <c r="AG1072" s="2"/>
      <c r="AO1072" s="2"/>
    </row>
    <row r="1073" spans="2:41" ht="13" x14ac:dyDescent="0.15">
      <c r="B1073" s="2"/>
      <c r="D1073" s="2"/>
      <c r="I1073" s="2"/>
      <c r="M1073" s="2"/>
      <c r="N1073" s="2"/>
      <c r="S1073" s="2"/>
      <c r="W1073" s="2"/>
      <c r="X1073" s="2"/>
      <c r="AC1073" s="2"/>
      <c r="AO1073" s="2"/>
    </row>
    <row r="1074" spans="2:41" ht="13" x14ac:dyDescent="0.15">
      <c r="B1074" s="2"/>
      <c r="AO1074" s="2"/>
    </row>
    <row r="1075" spans="2:41" ht="13" x14ac:dyDescent="0.15">
      <c r="B1075" s="2"/>
      <c r="AO1075" s="2"/>
    </row>
    <row r="1076" spans="2:41" ht="13" x14ac:dyDescent="0.15">
      <c r="B1076" s="2"/>
      <c r="D1076" s="2"/>
      <c r="N1076" s="2"/>
      <c r="W1076" s="2"/>
      <c r="AO1076" s="2"/>
    </row>
    <row r="1077" spans="2:41" ht="13" x14ac:dyDescent="0.15">
      <c r="B1077" s="2"/>
      <c r="AO1077" s="2"/>
    </row>
    <row r="1078" spans="2:41" ht="13" x14ac:dyDescent="0.15">
      <c r="B1078" s="2"/>
      <c r="AO1078" s="2"/>
    </row>
    <row r="1079" spans="2:41" ht="13" x14ac:dyDescent="0.15">
      <c r="B1079" s="2"/>
      <c r="AO1079" s="2"/>
    </row>
    <row r="1080" spans="2:41" ht="13" x14ac:dyDescent="0.15">
      <c r="B1080" s="2"/>
      <c r="AO1080" s="2"/>
    </row>
    <row r="1081" spans="2:41" ht="13" x14ac:dyDescent="0.15">
      <c r="B1081" s="2"/>
      <c r="AO1081" s="2"/>
    </row>
    <row r="1082" spans="2:41" ht="13" x14ac:dyDescent="0.15">
      <c r="B1082" s="2"/>
      <c r="AO1082" s="2"/>
    </row>
    <row r="1083" spans="2:41" ht="13" x14ac:dyDescent="0.15">
      <c r="B1083" s="2"/>
      <c r="M1083" s="2"/>
      <c r="W1083" s="2"/>
      <c r="AO1083" s="2"/>
    </row>
    <row r="1084" spans="2:41" ht="13" x14ac:dyDescent="0.15">
      <c r="B1084" s="2"/>
      <c r="AO1084" s="2"/>
    </row>
    <row r="1085" spans="2:41" ht="13" x14ac:dyDescent="0.15">
      <c r="B1085" s="2"/>
      <c r="AO1085" s="2"/>
    </row>
    <row r="1086" spans="2:41" ht="13" x14ac:dyDescent="0.15">
      <c r="B1086" s="2"/>
      <c r="AO1086" s="2"/>
    </row>
    <row r="1087" spans="2:41" ht="13" x14ac:dyDescent="0.15">
      <c r="B1087" s="2"/>
      <c r="AO1087" s="2"/>
    </row>
    <row r="1088" spans="2:41" ht="13" x14ac:dyDescent="0.15">
      <c r="B1088" s="2"/>
      <c r="AO1088" s="2"/>
    </row>
    <row r="1089" spans="2:41" ht="13" x14ac:dyDescent="0.15">
      <c r="B1089" s="2"/>
      <c r="C1089" s="2"/>
      <c r="D1089" s="2"/>
      <c r="M1089" s="2"/>
      <c r="N1089" s="2"/>
      <c r="W1089" s="2"/>
      <c r="AO1089" s="2"/>
    </row>
    <row r="1090" spans="2:41" ht="13" x14ac:dyDescent="0.15">
      <c r="B1090" s="2"/>
      <c r="M1090" s="2"/>
      <c r="AO1090" s="2"/>
    </row>
    <row r="1091" spans="2:41" ht="13" x14ac:dyDescent="0.15">
      <c r="B1091" s="2"/>
      <c r="AO1091" s="2"/>
    </row>
    <row r="1092" spans="2:41" ht="13" x14ac:dyDescent="0.15">
      <c r="B1092" s="2"/>
      <c r="AO1092" s="2"/>
    </row>
    <row r="1093" spans="2:41" ht="13" x14ac:dyDescent="0.15">
      <c r="B1093" s="2"/>
      <c r="AO1093" s="2"/>
    </row>
    <row r="1094" spans="2:41" ht="13" x14ac:dyDescent="0.15">
      <c r="B1094" s="2"/>
      <c r="C1094" s="2"/>
      <c r="D1094" s="2"/>
      <c r="M1094" s="2"/>
      <c r="N1094" s="2"/>
      <c r="W1094" s="2"/>
      <c r="AO1094" s="2"/>
    </row>
    <row r="1095" spans="2:41" ht="13" x14ac:dyDescent="0.15">
      <c r="B1095" s="2"/>
      <c r="AO1095" s="2"/>
    </row>
    <row r="1096" spans="2:41" ht="13" x14ac:dyDescent="0.15">
      <c r="B1096" s="2"/>
      <c r="AO1096" s="2"/>
    </row>
    <row r="1097" spans="2:41" ht="13" x14ac:dyDescent="0.15">
      <c r="B1097" s="2"/>
      <c r="AO1097" s="2"/>
    </row>
    <row r="1098" spans="2:41" ht="13" x14ac:dyDescent="0.15">
      <c r="B1098" s="2"/>
      <c r="AO1098" s="2"/>
    </row>
    <row r="1099" spans="2:41" ht="13" x14ac:dyDescent="0.15">
      <c r="B1099" s="2"/>
      <c r="AO1099" s="2"/>
    </row>
    <row r="1100" spans="2:41" ht="13" x14ac:dyDescent="0.15">
      <c r="B1100" s="2"/>
      <c r="N1100" s="2"/>
      <c r="AO1100" s="2"/>
    </row>
    <row r="1101" spans="2:41" ht="13" x14ac:dyDescent="0.15">
      <c r="B1101" s="2"/>
      <c r="AO1101" s="2"/>
    </row>
    <row r="1102" spans="2:41" ht="13" x14ac:dyDescent="0.15">
      <c r="B1102" s="2"/>
      <c r="AO1102" s="2"/>
    </row>
    <row r="1103" spans="2:41" ht="13" x14ac:dyDescent="0.15">
      <c r="B1103" s="2"/>
      <c r="AO1103" s="2"/>
    </row>
    <row r="1104" spans="2:41" ht="13" x14ac:dyDescent="0.15">
      <c r="B1104" s="2"/>
      <c r="AO1104" s="2"/>
    </row>
    <row r="1105" spans="2:41" ht="13" x14ac:dyDescent="0.15">
      <c r="B1105" s="2"/>
      <c r="AO1105" s="2"/>
    </row>
    <row r="1106" spans="2:41" ht="13" x14ac:dyDescent="0.15">
      <c r="B1106" s="2"/>
      <c r="AO1106" s="2"/>
    </row>
    <row r="1107" spans="2:41" ht="13" x14ac:dyDescent="0.15">
      <c r="B1107" s="2"/>
      <c r="AO1107" s="2"/>
    </row>
    <row r="1108" spans="2:41" ht="13" x14ac:dyDescent="0.15">
      <c r="B1108" s="2"/>
      <c r="AO1108" s="2"/>
    </row>
    <row r="1109" spans="2:41" ht="13" x14ac:dyDescent="0.15">
      <c r="B1109" s="2"/>
      <c r="AO1109" s="2"/>
    </row>
    <row r="1110" spans="2:41" ht="13" x14ac:dyDescent="0.15">
      <c r="B1110" s="2"/>
      <c r="AO1110" s="2"/>
    </row>
    <row r="1111" spans="2:41" ht="13" x14ac:dyDescent="0.15">
      <c r="B1111" s="2"/>
      <c r="AO1111" s="2"/>
    </row>
    <row r="1112" spans="2:41" ht="13" x14ac:dyDescent="0.15">
      <c r="B1112" s="2"/>
      <c r="AO1112" s="2"/>
    </row>
    <row r="1113" spans="2:41" ht="13" x14ac:dyDescent="0.15">
      <c r="B1113" s="2"/>
      <c r="AO1113" s="2"/>
    </row>
    <row r="1114" spans="2:41" ht="13" x14ac:dyDescent="0.15">
      <c r="B1114" s="2"/>
      <c r="AO1114" s="2"/>
    </row>
    <row r="1115" spans="2:41" ht="13" x14ac:dyDescent="0.15">
      <c r="B1115" s="2"/>
      <c r="AO1115" s="2"/>
    </row>
    <row r="1116" spans="2:41" ht="13" x14ac:dyDescent="0.15">
      <c r="B1116" s="2"/>
      <c r="AO1116" s="2"/>
    </row>
    <row r="1117" spans="2:41" ht="13" x14ac:dyDescent="0.15">
      <c r="B1117" s="2"/>
      <c r="C1117" s="2"/>
      <c r="D1117" s="2"/>
      <c r="F1117" s="2"/>
      <c r="G1117" s="2"/>
      <c r="H1117" s="2"/>
      <c r="I1117" s="2"/>
      <c r="M1117" s="2"/>
      <c r="N1117" s="2"/>
      <c r="P1117" s="2"/>
      <c r="Q1117" s="2"/>
      <c r="R1117" s="2"/>
      <c r="S1117" s="2"/>
      <c r="T1117" s="2"/>
      <c r="W1117" s="2"/>
      <c r="X1117" s="2"/>
      <c r="Z1117" s="2"/>
      <c r="AA1117" s="2"/>
      <c r="AB1117" s="2"/>
      <c r="AC1117" s="2"/>
      <c r="AD1117" s="2"/>
      <c r="AG1117" s="2"/>
      <c r="AH1117" s="2"/>
      <c r="AM1117" s="2"/>
      <c r="AO1117" s="2"/>
    </row>
    <row r="1118" spans="2:41" ht="13" x14ac:dyDescent="0.15">
      <c r="B1118" s="2"/>
      <c r="D1118" s="2"/>
      <c r="F1118" s="2"/>
      <c r="G1118" s="2"/>
      <c r="H1118" s="2"/>
      <c r="I1118" s="2"/>
      <c r="N1118" s="2"/>
      <c r="P1118" s="2"/>
      <c r="Q1118" s="2"/>
      <c r="R1118" s="2"/>
      <c r="S1118" s="2"/>
      <c r="T1118" s="2"/>
      <c r="W1118" s="2"/>
      <c r="X1118" s="2"/>
      <c r="AA1118" s="2"/>
      <c r="AB1118" s="2"/>
      <c r="AC1118" s="2"/>
      <c r="AD1118" s="2"/>
      <c r="AH1118" s="2"/>
      <c r="AM1118" s="2"/>
      <c r="AO1118" s="2"/>
    </row>
    <row r="1119" spans="2:41" ht="13" x14ac:dyDescent="0.15">
      <c r="B1119" s="2"/>
      <c r="D1119" s="2"/>
      <c r="N1119" s="2"/>
      <c r="Q1119" s="2"/>
      <c r="S1119" s="2"/>
      <c r="X1119" s="2"/>
      <c r="AO1119" s="2"/>
    </row>
    <row r="1120" spans="2:41" ht="13" x14ac:dyDescent="0.15">
      <c r="B1120" s="2"/>
      <c r="D1120" s="2"/>
      <c r="N1120" s="2"/>
      <c r="X1120" s="2"/>
      <c r="AO1120" s="2"/>
    </row>
    <row r="1121" spans="2:41" ht="13" x14ac:dyDescent="0.15">
      <c r="B1121" s="2"/>
      <c r="AO1121" s="2"/>
    </row>
    <row r="1122" spans="2:41" ht="13" x14ac:dyDescent="0.15">
      <c r="B1122" s="2"/>
      <c r="AO1122" s="2"/>
    </row>
    <row r="1123" spans="2:41" ht="13" x14ac:dyDescent="0.15">
      <c r="B1123" s="2"/>
      <c r="D1123" s="2"/>
      <c r="H1123" s="2"/>
      <c r="I1123" s="2"/>
      <c r="N1123" s="2"/>
      <c r="Q1123" s="2"/>
      <c r="S1123" s="2"/>
      <c r="X1123" s="2"/>
      <c r="AC1123" s="2"/>
      <c r="AO1123" s="2"/>
    </row>
    <row r="1124" spans="2:41" ht="13" x14ac:dyDescent="0.15">
      <c r="B1124" s="2"/>
      <c r="AO1124" s="2"/>
    </row>
    <row r="1125" spans="2:41" ht="13" x14ac:dyDescent="0.15">
      <c r="B1125" s="2"/>
      <c r="D1125" s="2"/>
      <c r="N1125" s="2"/>
      <c r="X1125" s="2"/>
      <c r="AO1125" s="2"/>
    </row>
    <row r="1126" spans="2:41" ht="13" x14ac:dyDescent="0.15">
      <c r="B1126" s="2"/>
      <c r="AO1126" s="2"/>
    </row>
    <row r="1127" spans="2:41" ht="13" x14ac:dyDescent="0.15">
      <c r="B1127" s="2"/>
      <c r="AO1127" s="2"/>
    </row>
    <row r="1128" spans="2:41" ht="13" x14ac:dyDescent="0.15">
      <c r="B1128" s="2"/>
      <c r="D1128" s="2"/>
      <c r="N1128" s="2"/>
      <c r="X1128" s="2"/>
      <c r="AO1128" s="2"/>
    </row>
    <row r="1129" spans="2:41" ht="13" x14ac:dyDescent="0.15">
      <c r="B1129" s="2"/>
      <c r="D1129" s="2"/>
      <c r="N1129" s="2"/>
      <c r="X1129" s="2"/>
      <c r="AO1129" s="2"/>
    </row>
    <row r="1130" spans="2:41" ht="13" x14ac:dyDescent="0.15">
      <c r="B1130" s="2"/>
      <c r="AO1130" s="2"/>
    </row>
    <row r="1131" spans="2:41" ht="13" x14ac:dyDescent="0.15">
      <c r="B1131" s="2"/>
      <c r="AO1131" s="2"/>
    </row>
    <row r="1132" spans="2:41" ht="13" x14ac:dyDescent="0.15">
      <c r="B1132" s="2"/>
      <c r="C1132" s="2"/>
      <c r="D1132" s="2"/>
      <c r="F1132" s="2"/>
      <c r="G1132" s="2"/>
      <c r="H1132" s="2"/>
      <c r="I1132" s="2"/>
      <c r="M1132" s="2"/>
      <c r="N1132" s="2"/>
      <c r="P1132" s="2"/>
      <c r="Q1132" s="2"/>
      <c r="R1132" s="2"/>
      <c r="S1132" s="2"/>
      <c r="W1132" s="2"/>
      <c r="X1132" s="2"/>
      <c r="Z1132" s="2"/>
      <c r="AA1132" s="2"/>
      <c r="AB1132" s="2"/>
      <c r="AC1132" s="2"/>
      <c r="AG1132" s="2"/>
      <c r="AH1132" s="2"/>
      <c r="AO1132" s="2"/>
    </row>
    <row r="1133" spans="2:41" ht="13" x14ac:dyDescent="0.15">
      <c r="B1133" s="2"/>
      <c r="D1133" s="2"/>
      <c r="G1133" s="2"/>
      <c r="I1133" s="2"/>
      <c r="N1133" s="2"/>
      <c r="Q1133" s="2"/>
      <c r="S1133" s="2"/>
      <c r="W1133" s="2"/>
      <c r="X1133" s="2"/>
      <c r="AA1133" s="2"/>
      <c r="AC1133" s="2"/>
      <c r="AO1133" s="2"/>
    </row>
    <row r="1134" spans="2:41" ht="13" x14ac:dyDescent="0.15">
      <c r="B1134" s="2"/>
      <c r="AO1134" s="2"/>
    </row>
    <row r="1135" spans="2:41" ht="13" x14ac:dyDescent="0.15">
      <c r="B1135" s="2"/>
      <c r="AO1135" s="2"/>
    </row>
    <row r="1136" spans="2:41" ht="13" x14ac:dyDescent="0.15">
      <c r="B1136" s="2"/>
      <c r="N1136" s="2"/>
      <c r="AO1136" s="2"/>
    </row>
    <row r="1137" spans="2:41" ht="13" x14ac:dyDescent="0.15">
      <c r="B1137" s="2"/>
      <c r="N1137" s="2"/>
      <c r="AO1137" s="2"/>
    </row>
    <row r="1138" spans="2:41" ht="13" x14ac:dyDescent="0.15">
      <c r="B1138" s="2"/>
      <c r="D1138" s="2"/>
      <c r="N1138" s="2"/>
      <c r="X1138" s="2"/>
      <c r="AO1138" s="2"/>
    </row>
    <row r="1139" spans="2:41" ht="13" x14ac:dyDescent="0.15">
      <c r="B1139" s="2"/>
      <c r="D1139" s="2"/>
      <c r="G1139" s="2"/>
      <c r="I1139" s="2"/>
      <c r="N1139" s="2"/>
      <c r="Q1139" s="2"/>
      <c r="S1139" s="2"/>
      <c r="W1139" s="2"/>
      <c r="X1139" s="2"/>
      <c r="AA1139" s="2"/>
      <c r="AO1139" s="2"/>
    </row>
    <row r="1140" spans="2:41" ht="13" x14ac:dyDescent="0.15">
      <c r="B1140" s="2"/>
      <c r="AO1140" s="2"/>
    </row>
    <row r="1141" spans="2:41" ht="13" x14ac:dyDescent="0.15">
      <c r="B1141" s="2"/>
      <c r="AO1141" s="2"/>
    </row>
    <row r="1142" spans="2:41" ht="13" x14ac:dyDescent="0.15">
      <c r="B1142" s="2"/>
      <c r="D1142" s="2"/>
      <c r="N1142" s="2"/>
      <c r="X1142" s="2"/>
      <c r="AO1142" s="2"/>
    </row>
    <row r="1143" spans="2:41" ht="13" x14ac:dyDescent="0.15">
      <c r="B1143" s="2"/>
      <c r="AO1143" s="2"/>
    </row>
    <row r="1144" spans="2:41" ht="13" x14ac:dyDescent="0.15">
      <c r="B1144" s="2"/>
      <c r="D1144" s="2"/>
      <c r="G1144" s="2"/>
      <c r="N1144" s="2"/>
      <c r="Q1144" s="2"/>
      <c r="S1144" s="2"/>
      <c r="W1144" s="2"/>
      <c r="X1144" s="2"/>
      <c r="AA1144" s="2"/>
      <c r="AC1144" s="2"/>
      <c r="AO1144" s="2"/>
    </row>
    <row r="1145" spans="2:41" ht="13" x14ac:dyDescent="0.15">
      <c r="B1145" s="2"/>
      <c r="D1145" s="2"/>
      <c r="N1145" s="2"/>
      <c r="Q1145" s="2"/>
      <c r="X1145" s="2"/>
      <c r="AO1145" s="2"/>
    </row>
    <row r="1146" spans="2:41" ht="13" x14ac:dyDescent="0.15">
      <c r="B1146" s="2"/>
      <c r="AO1146" s="2"/>
    </row>
    <row r="1147" spans="2:41" ht="13" x14ac:dyDescent="0.15">
      <c r="B1147" s="2"/>
      <c r="AO1147" s="2"/>
    </row>
    <row r="1148" spans="2:41" ht="13" x14ac:dyDescent="0.15">
      <c r="B1148" s="2"/>
      <c r="N1148" s="2"/>
      <c r="AO1148" s="2"/>
    </row>
    <row r="1149" spans="2:41" ht="13" x14ac:dyDescent="0.15">
      <c r="B1149" s="2"/>
      <c r="D1149" s="2"/>
      <c r="N1149" s="2"/>
      <c r="X1149" s="2"/>
      <c r="AO1149" s="2"/>
    </row>
    <row r="1150" spans="2:41" ht="13" x14ac:dyDescent="0.15">
      <c r="B1150" s="2"/>
      <c r="AO1150" s="2"/>
    </row>
    <row r="1151" spans="2:41" ht="13" x14ac:dyDescent="0.15">
      <c r="B1151" s="2"/>
      <c r="AO1151" s="2"/>
    </row>
    <row r="1152" spans="2:41" ht="13" x14ac:dyDescent="0.15">
      <c r="B1152" s="2"/>
      <c r="AO1152" s="2"/>
    </row>
    <row r="1153" spans="2:41" ht="13" x14ac:dyDescent="0.15">
      <c r="B1153" s="2"/>
      <c r="AO1153" s="2"/>
    </row>
    <row r="1154" spans="2:41" ht="13" x14ac:dyDescent="0.15">
      <c r="B1154" s="2"/>
      <c r="AO1154" s="2"/>
    </row>
    <row r="1155" spans="2:41" ht="13" x14ac:dyDescent="0.15">
      <c r="B1155" s="2"/>
      <c r="AO1155" s="2"/>
    </row>
    <row r="1156" spans="2:41" ht="13" x14ac:dyDescent="0.15">
      <c r="B1156" s="2"/>
      <c r="D1156" s="2"/>
      <c r="F1156" s="2"/>
      <c r="G1156" s="2"/>
      <c r="H1156" s="2"/>
      <c r="I1156" s="2"/>
      <c r="M1156" s="2"/>
      <c r="N1156" s="2"/>
      <c r="P1156" s="2"/>
      <c r="Q1156" s="2"/>
      <c r="S1156" s="2"/>
      <c r="W1156" s="2"/>
      <c r="X1156" s="2"/>
      <c r="AA1156" s="2"/>
      <c r="AC1156" s="2"/>
      <c r="AG1156" s="2"/>
      <c r="AO1156" s="2"/>
    </row>
    <row r="1157" spans="2:41" ht="13" x14ac:dyDescent="0.15">
      <c r="B1157" s="2"/>
      <c r="D1157" s="2"/>
      <c r="G1157" s="2"/>
      <c r="I1157" s="2"/>
      <c r="N1157" s="2"/>
      <c r="Q1157" s="2"/>
      <c r="S1157" s="2"/>
      <c r="W1157" s="2"/>
      <c r="X1157" s="2"/>
      <c r="AA1157" s="2"/>
      <c r="AC1157" s="2"/>
      <c r="AO1157" s="2"/>
    </row>
    <row r="1158" spans="2:41" ht="13" x14ac:dyDescent="0.15">
      <c r="B1158" s="2"/>
      <c r="AO1158" s="2"/>
    </row>
    <row r="1159" spans="2:41" ht="13" x14ac:dyDescent="0.15">
      <c r="B1159" s="2"/>
      <c r="AO1159" s="2"/>
    </row>
    <row r="1160" spans="2:41" ht="13" x14ac:dyDescent="0.15">
      <c r="B1160" s="2"/>
      <c r="N1160" s="2"/>
      <c r="AO1160" s="2"/>
    </row>
    <row r="1161" spans="2:41" ht="13" x14ac:dyDescent="0.15">
      <c r="B1161" s="2"/>
      <c r="AO1161" s="2"/>
    </row>
    <row r="1162" spans="2:41" ht="13" x14ac:dyDescent="0.15">
      <c r="B1162" s="2"/>
      <c r="AO1162" s="2"/>
    </row>
    <row r="1163" spans="2:41" ht="13" x14ac:dyDescent="0.15">
      <c r="B1163" s="2"/>
      <c r="D1163" s="2"/>
      <c r="N1163" s="2"/>
      <c r="X1163" s="2"/>
      <c r="AO1163" s="2"/>
    </row>
    <row r="1164" spans="2:41" ht="13" x14ac:dyDescent="0.15">
      <c r="B1164" s="2"/>
      <c r="N1164" s="2"/>
      <c r="AO1164" s="2"/>
    </row>
    <row r="1165" spans="2:41" ht="13" x14ac:dyDescent="0.15">
      <c r="B1165" s="2"/>
      <c r="C1165" s="2"/>
      <c r="D1165" s="2"/>
      <c r="F1165" s="2"/>
      <c r="G1165" s="2"/>
      <c r="H1165" s="2"/>
      <c r="I1165" s="2"/>
      <c r="M1165" s="2"/>
      <c r="N1165" s="2"/>
      <c r="P1165" s="2"/>
      <c r="Q1165" s="2"/>
      <c r="R1165" s="2"/>
      <c r="S1165" s="2"/>
      <c r="T1165" s="2"/>
      <c r="U1165" s="2"/>
      <c r="W1165" s="2"/>
      <c r="X1165" s="2"/>
      <c r="Z1165" s="2"/>
      <c r="AA1165" s="2"/>
      <c r="AB1165" s="2"/>
      <c r="AC1165" s="2"/>
      <c r="AD1165" s="2"/>
      <c r="AE1165" s="2"/>
      <c r="AG1165" s="2"/>
      <c r="AH1165" s="2"/>
      <c r="AM1165" s="2"/>
      <c r="AO1165" s="2"/>
    </row>
    <row r="1166" spans="2:41" ht="13" x14ac:dyDescent="0.15">
      <c r="B1166" s="2"/>
      <c r="D1166" s="2"/>
      <c r="F1166" s="2"/>
      <c r="G1166" s="2"/>
      <c r="H1166" s="2"/>
      <c r="I1166" s="2"/>
      <c r="M1166" s="2"/>
      <c r="N1166" s="2"/>
      <c r="P1166" s="2"/>
      <c r="Q1166" s="2"/>
      <c r="S1166" s="2"/>
      <c r="T1166" s="2"/>
      <c r="W1166" s="2"/>
      <c r="X1166" s="2"/>
      <c r="AA1166" s="2"/>
      <c r="AC1166" s="2"/>
      <c r="AD1166" s="2"/>
      <c r="AO1166" s="2"/>
    </row>
    <row r="1167" spans="2:41" ht="13" x14ac:dyDescent="0.15">
      <c r="B1167" s="2"/>
      <c r="AO1167" s="2"/>
    </row>
    <row r="1168" spans="2:41" ht="13" x14ac:dyDescent="0.15">
      <c r="B1168" s="2"/>
      <c r="AO1168" s="2"/>
    </row>
    <row r="1169" spans="2:41" ht="13" x14ac:dyDescent="0.15">
      <c r="B1169" s="2"/>
      <c r="AO1169" s="2"/>
    </row>
    <row r="1170" spans="2:41" ht="13" x14ac:dyDescent="0.15">
      <c r="B1170" s="2"/>
      <c r="D1170" s="2"/>
      <c r="G1170" s="2"/>
      <c r="H1170" s="2"/>
      <c r="I1170" s="2"/>
      <c r="M1170" s="2"/>
      <c r="N1170" s="2"/>
      <c r="Q1170" s="2"/>
      <c r="S1170" s="2"/>
      <c r="W1170" s="2"/>
      <c r="X1170" s="2"/>
      <c r="AC1170" s="2"/>
      <c r="AO1170" s="2"/>
    </row>
    <row r="1171" spans="2:41" ht="13" x14ac:dyDescent="0.15">
      <c r="B1171" s="2"/>
      <c r="AO1171" s="2"/>
    </row>
    <row r="1172" spans="2:41" ht="13" x14ac:dyDescent="0.15">
      <c r="B1172" s="2"/>
      <c r="AO1172" s="2"/>
    </row>
    <row r="1173" spans="2:41" ht="13" x14ac:dyDescent="0.15">
      <c r="B1173" s="2"/>
      <c r="AO1173" s="2"/>
    </row>
    <row r="1174" spans="2:41" ht="13" x14ac:dyDescent="0.15">
      <c r="B1174" s="2"/>
      <c r="AO1174" s="2"/>
    </row>
    <row r="1175" spans="2:41" ht="13" x14ac:dyDescent="0.15">
      <c r="B1175" s="2"/>
      <c r="D1175" s="2"/>
      <c r="F1175" s="2"/>
      <c r="G1175" s="2"/>
      <c r="H1175" s="2"/>
      <c r="I1175" s="2"/>
      <c r="M1175" s="2"/>
      <c r="N1175" s="2"/>
      <c r="P1175" s="2"/>
      <c r="Q1175" s="2"/>
      <c r="R1175" s="2"/>
      <c r="S1175" s="2"/>
      <c r="T1175" s="2"/>
      <c r="W1175" s="2"/>
      <c r="X1175" s="2"/>
      <c r="AA1175" s="2"/>
      <c r="AC1175" s="2"/>
      <c r="AD1175" s="2"/>
      <c r="AG1175" s="2"/>
      <c r="AH1175" s="2"/>
      <c r="AO1175" s="2"/>
    </row>
    <row r="1176" spans="2:41" ht="13" x14ac:dyDescent="0.15">
      <c r="B1176" s="2"/>
      <c r="AO1176" s="2"/>
    </row>
    <row r="1177" spans="2:41" ht="13" x14ac:dyDescent="0.15">
      <c r="B1177" s="2"/>
      <c r="AO1177" s="2"/>
    </row>
    <row r="1178" spans="2:41" ht="13" x14ac:dyDescent="0.15">
      <c r="B1178" s="2"/>
      <c r="D1178" s="2"/>
      <c r="N1178" s="2"/>
      <c r="AO1178" s="2"/>
    </row>
    <row r="1179" spans="2:41" ht="13" x14ac:dyDescent="0.15">
      <c r="B1179" s="2"/>
      <c r="AO1179" s="2"/>
    </row>
    <row r="1180" spans="2:41" ht="13" x14ac:dyDescent="0.15">
      <c r="B1180" s="2"/>
      <c r="AO1180" s="2"/>
    </row>
    <row r="1181" spans="2:41" ht="13" x14ac:dyDescent="0.15">
      <c r="B1181" s="2"/>
      <c r="AO1181" s="2"/>
    </row>
    <row r="1182" spans="2:41" ht="13" x14ac:dyDescent="0.15">
      <c r="B1182" s="2"/>
      <c r="AO1182" s="2"/>
    </row>
    <row r="1183" spans="2:41" ht="13" x14ac:dyDescent="0.15">
      <c r="B1183" s="2"/>
      <c r="N1183" s="2"/>
      <c r="AO1183" s="2"/>
    </row>
    <row r="1184" spans="2:41" ht="13" x14ac:dyDescent="0.15">
      <c r="B1184" s="2"/>
      <c r="AO1184" s="2"/>
    </row>
    <row r="1185" spans="2:41" ht="13" x14ac:dyDescent="0.15">
      <c r="B1185" s="2"/>
      <c r="AO1185" s="2"/>
    </row>
    <row r="1186" spans="2:41" ht="13" x14ac:dyDescent="0.15">
      <c r="B1186" s="2"/>
      <c r="AO1186" s="2"/>
    </row>
    <row r="1187" spans="2:41" ht="13" x14ac:dyDescent="0.15">
      <c r="B1187" s="2"/>
      <c r="AO1187" s="2"/>
    </row>
    <row r="1188" spans="2:41" ht="13" x14ac:dyDescent="0.15">
      <c r="B1188" s="2"/>
      <c r="AO1188" s="2"/>
    </row>
    <row r="1189" spans="2:41" ht="13" x14ac:dyDescent="0.15">
      <c r="B1189" s="2"/>
      <c r="AO1189" s="2"/>
    </row>
    <row r="1190" spans="2:41" ht="13" x14ac:dyDescent="0.15">
      <c r="B1190" s="2"/>
      <c r="D1190" s="2"/>
      <c r="N1190" s="2"/>
      <c r="AO1190" s="2"/>
    </row>
    <row r="1191" spans="2:41" ht="13" x14ac:dyDescent="0.15">
      <c r="B1191" s="2"/>
      <c r="N1191" s="2"/>
      <c r="AO1191" s="2"/>
    </row>
    <row r="1192" spans="2:41" ht="13" x14ac:dyDescent="0.15">
      <c r="B1192" s="2"/>
      <c r="AO1192" s="2"/>
    </row>
    <row r="1193" spans="2:41" ht="13" x14ac:dyDescent="0.15">
      <c r="B1193" s="2"/>
      <c r="AO1193" s="2"/>
    </row>
    <row r="1194" spans="2:41" ht="13" x14ac:dyDescent="0.15">
      <c r="B1194" s="2"/>
      <c r="D1194" s="2"/>
      <c r="M1194" s="2"/>
      <c r="N1194" s="2"/>
      <c r="W1194" s="2"/>
      <c r="X1194" s="2"/>
      <c r="AG1194" s="2"/>
      <c r="AO1194" s="2"/>
    </row>
    <row r="1195" spans="2:41" ht="13" x14ac:dyDescent="0.15">
      <c r="B1195" s="2"/>
      <c r="AO1195" s="2"/>
    </row>
    <row r="1196" spans="2:41" ht="13" x14ac:dyDescent="0.15">
      <c r="B1196" s="2"/>
      <c r="AO1196" s="2"/>
    </row>
    <row r="1197" spans="2:41" ht="13" x14ac:dyDescent="0.15">
      <c r="B1197" s="2"/>
      <c r="AO1197" s="2"/>
    </row>
    <row r="1198" spans="2:41" ht="13" x14ac:dyDescent="0.15">
      <c r="B1198" s="2"/>
      <c r="AO1198" s="2"/>
    </row>
    <row r="1199" spans="2:41" ht="13" x14ac:dyDescent="0.15">
      <c r="B1199" s="2"/>
      <c r="AO1199" s="2"/>
    </row>
    <row r="1200" spans="2:41" ht="13" x14ac:dyDescent="0.15">
      <c r="B1200" s="2"/>
      <c r="AO1200" s="2"/>
    </row>
    <row r="1201" spans="2:41" ht="13" x14ac:dyDescent="0.15">
      <c r="B1201" s="2"/>
      <c r="AO1201" s="2"/>
    </row>
    <row r="1202" spans="2:41" ht="13" x14ac:dyDescent="0.15">
      <c r="B1202" s="2"/>
      <c r="AO1202" s="2"/>
    </row>
    <row r="1203" spans="2:41" ht="13" x14ac:dyDescent="0.15">
      <c r="B1203" s="2"/>
      <c r="AO1203" s="2"/>
    </row>
    <row r="1204" spans="2:41" ht="13" x14ac:dyDescent="0.15">
      <c r="B1204" s="2"/>
      <c r="AO1204" s="2"/>
    </row>
    <row r="1205" spans="2:41" ht="13" x14ac:dyDescent="0.15">
      <c r="B1205" s="2"/>
      <c r="AO1205" s="2"/>
    </row>
    <row r="1206" spans="2:41" ht="13" x14ac:dyDescent="0.15">
      <c r="B1206" s="2"/>
      <c r="AO1206" s="2"/>
    </row>
    <row r="1207" spans="2:41" ht="13" x14ac:dyDescent="0.15">
      <c r="B1207" s="2"/>
      <c r="AO1207" s="2"/>
    </row>
    <row r="1208" spans="2:41" ht="13" x14ac:dyDescent="0.15">
      <c r="B1208" s="2"/>
      <c r="AO1208" s="2"/>
    </row>
    <row r="1209" spans="2:41" ht="13" x14ac:dyDescent="0.15">
      <c r="B1209" s="2"/>
      <c r="AO1209" s="2"/>
    </row>
    <row r="1210" spans="2:41" ht="13" x14ac:dyDescent="0.15">
      <c r="B1210" s="2"/>
      <c r="C1210" s="2"/>
      <c r="D1210" s="2"/>
      <c r="F1210" s="2"/>
      <c r="G1210" s="2"/>
      <c r="H1210" s="2"/>
      <c r="I1210" s="2"/>
      <c r="M1210" s="2"/>
      <c r="N1210" s="2"/>
      <c r="Q1210" s="2"/>
      <c r="S1210" s="2"/>
      <c r="U1210" s="2"/>
      <c r="W1210" s="2"/>
      <c r="X1210" s="2"/>
      <c r="AC1210" s="2"/>
      <c r="AG1210" s="2"/>
      <c r="AO1210" s="2"/>
    </row>
    <row r="1211" spans="2:41" ht="13" x14ac:dyDescent="0.15">
      <c r="B1211" s="2"/>
      <c r="D1211" s="2"/>
      <c r="N1211" s="2"/>
      <c r="W1211" s="2"/>
      <c r="X1211" s="2"/>
      <c r="AO1211" s="2"/>
    </row>
    <row r="1212" spans="2:41" ht="13" x14ac:dyDescent="0.15">
      <c r="B1212" s="2"/>
      <c r="D1212" s="2"/>
      <c r="M1212" s="2"/>
      <c r="N1212" s="2"/>
      <c r="W1212" s="2"/>
      <c r="X1212" s="2"/>
      <c r="AO1212" s="2"/>
    </row>
    <row r="1213" spans="2:41" ht="13" x14ac:dyDescent="0.15">
      <c r="B1213" s="2"/>
      <c r="D1213" s="2"/>
      <c r="M1213" s="2"/>
      <c r="N1213" s="2"/>
      <c r="W1213" s="2"/>
      <c r="X1213" s="2"/>
      <c r="AO1213" s="2"/>
    </row>
    <row r="1214" spans="2:41" ht="13" x14ac:dyDescent="0.15">
      <c r="B1214" s="2"/>
      <c r="AO1214" s="2"/>
    </row>
    <row r="1215" spans="2:41" ht="13" x14ac:dyDescent="0.15">
      <c r="B1215" s="2"/>
      <c r="D1215" s="2"/>
      <c r="N1215" s="2"/>
      <c r="X1215" s="2"/>
      <c r="AO1215" s="2"/>
    </row>
    <row r="1216" spans="2:41" ht="13" x14ac:dyDescent="0.15">
      <c r="B1216" s="2"/>
      <c r="AO1216" s="2"/>
    </row>
    <row r="1217" spans="2:41" ht="13" x14ac:dyDescent="0.15">
      <c r="B1217" s="2"/>
      <c r="D1217" s="2"/>
      <c r="G1217" s="2"/>
      <c r="M1217" s="2"/>
      <c r="N1217" s="2"/>
      <c r="Q1217" s="2"/>
      <c r="S1217" s="2"/>
      <c r="W1217" s="2"/>
      <c r="X1217" s="2"/>
      <c r="AC1217" s="2"/>
      <c r="AG1217" s="2"/>
      <c r="AO1217" s="2"/>
    </row>
    <row r="1218" spans="2:41" ht="13" x14ac:dyDescent="0.15">
      <c r="B1218" s="2"/>
      <c r="AO1218" s="2"/>
    </row>
    <row r="1219" spans="2:41" ht="13" x14ac:dyDescent="0.15">
      <c r="B1219" s="2"/>
      <c r="AO1219" s="2"/>
    </row>
    <row r="1220" spans="2:41" ht="13" x14ac:dyDescent="0.15">
      <c r="B1220" s="2"/>
      <c r="AO1220" s="2"/>
    </row>
    <row r="1221" spans="2:41" ht="13" x14ac:dyDescent="0.15">
      <c r="B1221" s="2"/>
      <c r="AO1221" s="2"/>
    </row>
    <row r="1222" spans="2:41" ht="13" x14ac:dyDescent="0.15">
      <c r="B1222" s="2"/>
      <c r="AO1222" s="2"/>
    </row>
    <row r="1223" spans="2:41" ht="13" x14ac:dyDescent="0.15">
      <c r="B1223" s="2"/>
      <c r="AO1223" s="2"/>
    </row>
    <row r="1224" spans="2:41" ht="13" x14ac:dyDescent="0.15">
      <c r="B1224" s="2"/>
      <c r="AO1224" s="2"/>
    </row>
    <row r="1225" spans="2:41" ht="13" x14ac:dyDescent="0.15">
      <c r="B1225" s="2"/>
      <c r="AO1225" s="2"/>
    </row>
    <row r="1226" spans="2:41" ht="13" x14ac:dyDescent="0.15">
      <c r="B1226" s="2"/>
      <c r="AO1226" s="2"/>
    </row>
    <row r="1227" spans="2:41" ht="13" x14ac:dyDescent="0.15">
      <c r="B1227" s="2"/>
      <c r="AO1227" s="2"/>
    </row>
    <row r="1228" spans="2:41" ht="13" x14ac:dyDescent="0.15">
      <c r="B1228" s="2"/>
      <c r="AO1228" s="2"/>
    </row>
    <row r="1229" spans="2:41" ht="13" x14ac:dyDescent="0.15">
      <c r="B1229" s="2"/>
      <c r="AO1229" s="2"/>
    </row>
    <row r="1230" spans="2:41" ht="13" x14ac:dyDescent="0.15">
      <c r="B1230" s="2"/>
      <c r="AO1230" s="2"/>
    </row>
    <row r="1231" spans="2:41" ht="13" x14ac:dyDescent="0.15">
      <c r="B1231" s="2"/>
      <c r="AO1231" s="2"/>
    </row>
    <row r="1232" spans="2:41" ht="13" x14ac:dyDescent="0.15">
      <c r="B1232" s="2"/>
      <c r="AO1232" s="2"/>
    </row>
    <row r="1233" spans="2:41" ht="13" x14ac:dyDescent="0.15">
      <c r="B1233" s="2"/>
      <c r="AO1233" s="2"/>
    </row>
    <row r="1234" spans="2:41" ht="13" x14ac:dyDescent="0.15">
      <c r="B1234" s="2"/>
      <c r="AO1234" s="2"/>
    </row>
    <row r="1235" spans="2:41" ht="13" x14ac:dyDescent="0.15">
      <c r="B1235" s="2"/>
      <c r="AO1235" s="2"/>
    </row>
    <row r="1236" spans="2:41" ht="13" x14ac:dyDescent="0.15">
      <c r="B1236" s="2"/>
      <c r="AO1236" s="2"/>
    </row>
    <row r="1237" spans="2:41" ht="13" x14ac:dyDescent="0.15">
      <c r="B1237" s="2"/>
      <c r="AO1237" s="2"/>
    </row>
    <row r="1238" spans="2:41" ht="13" x14ac:dyDescent="0.15">
      <c r="B1238" s="2"/>
      <c r="AO1238" s="2"/>
    </row>
    <row r="1239" spans="2:41" ht="13" x14ac:dyDescent="0.15">
      <c r="B1239" s="2"/>
      <c r="AO1239" s="2"/>
    </row>
    <row r="1240" spans="2:41" ht="13" x14ac:dyDescent="0.15">
      <c r="B1240" s="2"/>
      <c r="AO1240" s="2"/>
    </row>
    <row r="1241" spans="2:41" ht="13" x14ac:dyDescent="0.15">
      <c r="B1241" s="2"/>
      <c r="AO1241" s="2"/>
    </row>
    <row r="1242" spans="2:41" ht="13" x14ac:dyDescent="0.15">
      <c r="B1242" s="2"/>
      <c r="AO1242" s="2"/>
    </row>
    <row r="1243" spans="2:41" ht="13" x14ac:dyDescent="0.15">
      <c r="B1243" s="2"/>
      <c r="AO1243" s="2"/>
    </row>
    <row r="1244" spans="2:41" ht="13" x14ac:dyDescent="0.15">
      <c r="B1244" s="2"/>
      <c r="AO1244" s="2"/>
    </row>
    <row r="1245" spans="2:41" ht="13" x14ac:dyDescent="0.15">
      <c r="B1245" s="2"/>
      <c r="AO1245" s="2"/>
    </row>
    <row r="1246" spans="2:41" ht="13" x14ac:dyDescent="0.15">
      <c r="B1246" s="2"/>
      <c r="AO1246" s="2"/>
    </row>
    <row r="1247" spans="2:41" ht="13" x14ac:dyDescent="0.15">
      <c r="B1247" s="2"/>
      <c r="AO1247" s="2"/>
    </row>
    <row r="1248" spans="2:41" ht="13" x14ac:dyDescent="0.15">
      <c r="B1248" s="2"/>
      <c r="AO1248" s="2"/>
    </row>
    <row r="1249" spans="2:41" ht="13" x14ac:dyDescent="0.15">
      <c r="B1249" s="2"/>
      <c r="AO1249" s="2"/>
    </row>
    <row r="1250" spans="2:41" ht="13" x14ac:dyDescent="0.15">
      <c r="B1250" s="2"/>
      <c r="AO1250" s="2"/>
    </row>
    <row r="1251" spans="2:41" ht="13" x14ac:dyDescent="0.15">
      <c r="B1251" s="2"/>
      <c r="AO1251" s="2"/>
    </row>
    <row r="1252" spans="2:41" ht="13" x14ac:dyDescent="0.15">
      <c r="B1252" s="2"/>
      <c r="N1252" s="2"/>
      <c r="X1252" s="2"/>
      <c r="AO1252" s="2"/>
    </row>
    <row r="1253" spans="2:41" ht="13" x14ac:dyDescent="0.15">
      <c r="B1253" s="2"/>
      <c r="AO1253" s="2"/>
    </row>
    <row r="1254" spans="2:41" ht="13" x14ac:dyDescent="0.15">
      <c r="B1254" s="2"/>
      <c r="AO1254" s="2"/>
    </row>
    <row r="1255" spans="2:41" ht="13" x14ac:dyDescent="0.15">
      <c r="B1255" s="2"/>
      <c r="AO1255" s="2"/>
    </row>
    <row r="1256" spans="2:41" ht="13" x14ac:dyDescent="0.15">
      <c r="B1256" s="2"/>
      <c r="AO1256" s="2"/>
    </row>
    <row r="1257" spans="2:41" ht="13" x14ac:dyDescent="0.15">
      <c r="B1257" s="2"/>
      <c r="C1257" s="2"/>
      <c r="D1257" s="2"/>
      <c r="F1257" s="2"/>
      <c r="G1257" s="2"/>
      <c r="H1257" s="2"/>
      <c r="I1257" s="2"/>
      <c r="K1257" s="2"/>
      <c r="M1257" s="2"/>
      <c r="N1257" s="2"/>
      <c r="Q1257" s="2"/>
      <c r="S1257" s="2"/>
      <c r="U1257" s="2"/>
      <c r="W1257" s="2"/>
      <c r="X1257" s="2"/>
      <c r="AC1257" s="2"/>
      <c r="AG1257" s="2"/>
      <c r="AO1257" s="2"/>
    </row>
    <row r="1258" spans="2:41" ht="13" x14ac:dyDescent="0.15">
      <c r="B1258" s="2"/>
      <c r="D1258" s="2"/>
      <c r="M1258" s="2"/>
      <c r="N1258" s="2"/>
      <c r="S1258" s="2"/>
      <c r="W1258" s="2"/>
      <c r="X1258" s="2"/>
      <c r="AO1258" s="2"/>
    </row>
    <row r="1259" spans="2:41" ht="13" x14ac:dyDescent="0.15">
      <c r="B1259" s="2"/>
      <c r="AO1259" s="2"/>
    </row>
    <row r="1260" spans="2:41" ht="13" x14ac:dyDescent="0.15">
      <c r="B1260" s="2"/>
      <c r="AO1260" s="2"/>
    </row>
    <row r="1261" spans="2:41" ht="13" x14ac:dyDescent="0.15">
      <c r="B1261" s="2"/>
      <c r="D1261" s="2"/>
      <c r="M1261" s="2"/>
      <c r="N1261" s="2"/>
      <c r="W1261" s="2"/>
      <c r="X1261" s="2"/>
      <c r="AO1261" s="2"/>
    </row>
    <row r="1262" spans="2:41" ht="13" x14ac:dyDescent="0.15">
      <c r="B1262" s="2"/>
      <c r="AO1262" s="2"/>
    </row>
    <row r="1263" spans="2:41" ht="13" x14ac:dyDescent="0.15">
      <c r="B1263" s="2"/>
      <c r="C1263" s="2"/>
      <c r="D1263" s="2"/>
      <c r="M1263" s="2"/>
      <c r="N1263" s="2"/>
      <c r="W1263" s="2"/>
      <c r="X1263" s="2"/>
      <c r="AO1263" s="2"/>
    </row>
    <row r="1264" spans="2:41" ht="13" x14ac:dyDescent="0.15">
      <c r="B1264" s="2"/>
      <c r="D1264" s="2"/>
      <c r="N1264" s="2"/>
      <c r="AO1264" s="2"/>
    </row>
    <row r="1265" spans="2:41" ht="13" x14ac:dyDescent="0.15">
      <c r="B1265" s="2"/>
      <c r="D1265" s="2"/>
      <c r="M1265" s="2"/>
      <c r="N1265" s="2"/>
      <c r="W1265" s="2"/>
      <c r="AO1265" s="2"/>
    </row>
    <row r="1266" spans="2:41" ht="13" x14ac:dyDescent="0.15">
      <c r="B1266" s="2"/>
      <c r="AO1266" s="2"/>
    </row>
    <row r="1267" spans="2:41" ht="13" x14ac:dyDescent="0.15">
      <c r="B1267" s="2"/>
      <c r="C1267" s="2"/>
      <c r="D1267" s="2"/>
      <c r="G1267" s="2"/>
      <c r="M1267" s="2"/>
      <c r="N1267" s="2"/>
      <c r="Q1267" s="2"/>
      <c r="S1267" s="2"/>
      <c r="W1267" s="2"/>
      <c r="X1267" s="2"/>
      <c r="AA1267" s="2"/>
      <c r="AC1267" s="2"/>
      <c r="AG1267" s="2"/>
      <c r="AO1267" s="2"/>
    </row>
    <row r="1268" spans="2:41" ht="13" x14ac:dyDescent="0.15">
      <c r="B1268" s="2"/>
      <c r="D1268" s="2"/>
      <c r="N1268" s="2"/>
      <c r="Q1268" s="2"/>
      <c r="S1268" s="2"/>
      <c r="W1268" s="2"/>
      <c r="X1268" s="2"/>
      <c r="AC1268" s="2"/>
      <c r="AO1268" s="2"/>
    </row>
    <row r="1269" spans="2:41" ht="13" x14ac:dyDescent="0.15">
      <c r="B1269" s="2"/>
      <c r="AO1269" s="2"/>
    </row>
    <row r="1270" spans="2:41" ht="13" x14ac:dyDescent="0.15">
      <c r="B1270" s="2"/>
      <c r="AO1270" s="2"/>
    </row>
    <row r="1271" spans="2:41" ht="13" x14ac:dyDescent="0.15">
      <c r="B1271" s="2"/>
      <c r="AO1271" s="2"/>
    </row>
    <row r="1272" spans="2:41" ht="13" x14ac:dyDescent="0.15">
      <c r="B1272" s="2"/>
      <c r="AO1272" s="2"/>
    </row>
    <row r="1273" spans="2:41" ht="13" x14ac:dyDescent="0.15">
      <c r="B1273" s="2"/>
      <c r="AO1273" s="2"/>
    </row>
    <row r="1274" spans="2:41" ht="13" x14ac:dyDescent="0.15">
      <c r="B1274" s="2"/>
      <c r="AO1274" s="2"/>
    </row>
    <row r="1275" spans="2:41" ht="13" x14ac:dyDescent="0.15">
      <c r="B1275" s="2"/>
      <c r="AO1275" s="2"/>
    </row>
    <row r="1276" spans="2:41" ht="13" x14ac:dyDescent="0.15">
      <c r="B1276" s="2"/>
      <c r="AO1276" s="2"/>
    </row>
    <row r="1277" spans="2:41" ht="13" x14ac:dyDescent="0.15">
      <c r="B1277" s="2"/>
      <c r="D1277" s="2"/>
      <c r="G1277" s="2"/>
      <c r="N1277" s="2"/>
      <c r="Q1277" s="2"/>
      <c r="S1277" s="2"/>
      <c r="X1277" s="2"/>
      <c r="AO1277" s="2"/>
    </row>
    <row r="1278" spans="2:41" ht="13" x14ac:dyDescent="0.15">
      <c r="B1278" s="2"/>
      <c r="X1278" s="2"/>
      <c r="AO1278" s="2"/>
    </row>
    <row r="1279" spans="2:41" ht="13" x14ac:dyDescent="0.15">
      <c r="B1279" s="2"/>
      <c r="AO1279" s="2"/>
    </row>
    <row r="1280" spans="2:41" ht="13" x14ac:dyDescent="0.15">
      <c r="B1280" s="2"/>
      <c r="AO1280" s="2"/>
    </row>
    <row r="1281" spans="2:41" ht="13" x14ac:dyDescent="0.15">
      <c r="B1281" s="2"/>
      <c r="AO1281" s="2"/>
    </row>
    <row r="1282" spans="2:41" ht="13" x14ac:dyDescent="0.15">
      <c r="B1282" s="2"/>
      <c r="AO1282" s="2"/>
    </row>
    <row r="1283" spans="2:41" ht="13" x14ac:dyDescent="0.15">
      <c r="B1283" s="2"/>
      <c r="AO1283" s="2"/>
    </row>
    <row r="1284" spans="2:41" ht="13" x14ac:dyDescent="0.15">
      <c r="B1284" s="2"/>
      <c r="AO1284" s="2"/>
    </row>
    <row r="1285" spans="2:41" ht="13" x14ac:dyDescent="0.15">
      <c r="B1285" s="2"/>
      <c r="AO1285" s="2"/>
    </row>
    <row r="1286" spans="2:41" ht="13" x14ac:dyDescent="0.15">
      <c r="B1286" s="2"/>
      <c r="AO1286" s="2"/>
    </row>
    <row r="1287" spans="2:41" ht="13" x14ac:dyDescent="0.15">
      <c r="B1287" s="2"/>
      <c r="AO1287" s="2"/>
    </row>
    <row r="1288" spans="2:41" ht="13" x14ac:dyDescent="0.15">
      <c r="B1288" s="2"/>
      <c r="D1288" s="2"/>
      <c r="M1288" s="2"/>
      <c r="N1288" s="2"/>
      <c r="Q1288" s="2"/>
      <c r="W1288" s="2"/>
      <c r="X1288" s="2"/>
      <c r="AG1288" s="2"/>
      <c r="AO1288" s="2"/>
    </row>
    <row r="1289" spans="2:41" ht="13" x14ac:dyDescent="0.15">
      <c r="B1289" s="2"/>
      <c r="D1289" s="2"/>
      <c r="N1289" s="2"/>
      <c r="X1289" s="2"/>
      <c r="AO1289" s="2"/>
    </row>
    <row r="1290" spans="2:41" ht="13" x14ac:dyDescent="0.15">
      <c r="B1290" s="2"/>
      <c r="AO1290" s="2"/>
    </row>
    <row r="1291" spans="2:41" ht="13" x14ac:dyDescent="0.15">
      <c r="B1291" s="2"/>
      <c r="AO1291" s="2"/>
    </row>
    <row r="1292" spans="2:41" ht="13" x14ac:dyDescent="0.15">
      <c r="B1292" s="2"/>
      <c r="AO1292" s="2"/>
    </row>
    <row r="1293" spans="2:41" ht="13" x14ac:dyDescent="0.15">
      <c r="B1293" s="2"/>
      <c r="N1293" s="2"/>
      <c r="AO1293" s="2"/>
    </row>
    <row r="1294" spans="2:41" ht="13" x14ac:dyDescent="0.15">
      <c r="B1294" s="2"/>
      <c r="AO1294" s="2"/>
    </row>
    <row r="1295" spans="2:41" ht="13" x14ac:dyDescent="0.15">
      <c r="B1295" s="2"/>
      <c r="AO1295" s="2"/>
    </row>
    <row r="1296" spans="2:41" ht="13" x14ac:dyDescent="0.15">
      <c r="B1296" s="2"/>
      <c r="AO1296" s="2"/>
    </row>
    <row r="1297" spans="2:41" ht="13" x14ac:dyDescent="0.15">
      <c r="B1297" s="2"/>
      <c r="AO1297" s="2"/>
    </row>
    <row r="1298" spans="2:41" ht="13" x14ac:dyDescent="0.15">
      <c r="B1298" s="2"/>
      <c r="C1298" s="2"/>
      <c r="D1298" s="2"/>
      <c r="F1298" s="2"/>
      <c r="G1298" s="2"/>
      <c r="H1298" s="2"/>
      <c r="I1298" s="2"/>
      <c r="K1298" s="2"/>
      <c r="M1298" s="2"/>
      <c r="N1298" s="2"/>
      <c r="P1298" s="2"/>
      <c r="Q1298" s="2"/>
      <c r="R1298" s="2"/>
      <c r="S1298" s="2"/>
      <c r="T1298" s="2"/>
      <c r="U1298" s="2"/>
      <c r="W1298" s="2"/>
      <c r="X1298" s="2"/>
      <c r="Z1298" s="2"/>
      <c r="AA1298" s="2"/>
      <c r="AB1298" s="2"/>
      <c r="AC1298" s="2"/>
      <c r="AD1298" s="2"/>
      <c r="AE1298" s="2"/>
      <c r="AG1298" s="2"/>
      <c r="AH1298" s="2"/>
      <c r="AK1298" s="2"/>
      <c r="AM1298" s="2"/>
      <c r="AO1298" s="2"/>
    </row>
    <row r="1299" spans="2:41" ht="13" x14ac:dyDescent="0.15">
      <c r="B1299" s="2"/>
      <c r="C1299" s="2"/>
      <c r="D1299" s="2"/>
      <c r="F1299" s="2"/>
      <c r="G1299" s="2"/>
      <c r="H1299" s="2"/>
      <c r="I1299" s="2"/>
      <c r="M1299" s="2"/>
      <c r="N1299" s="2"/>
      <c r="P1299" s="2"/>
      <c r="Q1299" s="2"/>
      <c r="R1299" s="2"/>
      <c r="S1299" s="2"/>
      <c r="T1299" s="2"/>
      <c r="W1299" s="2"/>
      <c r="X1299" s="2"/>
      <c r="Z1299" s="2"/>
      <c r="AA1299" s="2"/>
      <c r="AB1299" s="2"/>
      <c r="AC1299" s="2"/>
      <c r="AD1299" s="2"/>
      <c r="AG1299" s="2"/>
      <c r="AH1299" s="2"/>
      <c r="AM1299" s="2"/>
      <c r="AO1299" s="2"/>
    </row>
    <row r="1300" spans="2:41" ht="13" x14ac:dyDescent="0.15">
      <c r="B1300" s="2"/>
      <c r="C1300" s="2"/>
      <c r="D1300" s="2"/>
      <c r="F1300" s="2"/>
      <c r="G1300" s="2"/>
      <c r="H1300" s="2"/>
      <c r="I1300" s="2"/>
      <c r="M1300" s="2"/>
      <c r="N1300" s="2"/>
      <c r="P1300" s="2"/>
      <c r="Q1300" s="2"/>
      <c r="S1300" s="2"/>
      <c r="W1300" s="2"/>
      <c r="X1300" s="2"/>
      <c r="AA1300" s="2"/>
      <c r="AC1300" s="2"/>
      <c r="AG1300" s="2"/>
      <c r="AO1300" s="2"/>
    </row>
    <row r="1301" spans="2:41" ht="13" x14ac:dyDescent="0.15">
      <c r="B1301" s="2"/>
      <c r="D1301" s="2"/>
      <c r="N1301" s="2"/>
      <c r="W1301" s="2"/>
      <c r="X1301" s="2"/>
      <c r="AO1301" s="2"/>
    </row>
    <row r="1302" spans="2:41" ht="13" x14ac:dyDescent="0.15">
      <c r="B1302" s="2"/>
      <c r="C1302" s="2"/>
      <c r="D1302" s="2"/>
      <c r="M1302" s="2"/>
      <c r="N1302" s="2"/>
      <c r="Q1302" s="2"/>
      <c r="S1302" s="2"/>
      <c r="W1302" s="2"/>
      <c r="X1302" s="2"/>
      <c r="AC1302" s="2"/>
      <c r="AO1302" s="2"/>
    </row>
    <row r="1303" spans="2:41" ht="13" x14ac:dyDescent="0.15">
      <c r="B1303" s="2"/>
      <c r="C1303" s="2"/>
      <c r="D1303" s="2"/>
      <c r="F1303" s="2"/>
      <c r="G1303" s="2"/>
      <c r="H1303" s="2"/>
      <c r="I1303" s="2"/>
      <c r="M1303" s="2"/>
      <c r="N1303" s="2"/>
      <c r="P1303" s="2"/>
      <c r="Q1303" s="2"/>
      <c r="S1303" s="2"/>
      <c r="W1303" s="2"/>
      <c r="X1303" s="2"/>
      <c r="Z1303" s="2"/>
      <c r="AA1303" s="2"/>
      <c r="AC1303" s="2"/>
      <c r="AG1303" s="2"/>
      <c r="AH1303" s="2"/>
      <c r="AO1303" s="2"/>
    </row>
    <row r="1304" spans="2:41" ht="13" x14ac:dyDescent="0.15">
      <c r="B1304" s="2"/>
      <c r="D1304" s="2"/>
      <c r="M1304" s="2"/>
      <c r="N1304" s="2"/>
      <c r="W1304" s="2"/>
      <c r="X1304" s="2"/>
      <c r="AO1304" s="2"/>
    </row>
    <row r="1305" spans="2:41" ht="13" x14ac:dyDescent="0.15">
      <c r="B1305" s="2"/>
      <c r="D1305" s="2"/>
      <c r="N1305" s="2"/>
      <c r="X1305" s="2"/>
      <c r="AO1305" s="2"/>
    </row>
    <row r="1306" spans="2:41" ht="13" x14ac:dyDescent="0.15">
      <c r="B1306" s="2"/>
      <c r="AO1306" s="2"/>
    </row>
    <row r="1307" spans="2:41" ht="13" x14ac:dyDescent="0.15">
      <c r="B1307" s="2"/>
      <c r="D1307" s="2"/>
      <c r="N1307" s="2"/>
      <c r="AO1307" s="2"/>
    </row>
    <row r="1308" spans="2:41" ht="13" x14ac:dyDescent="0.15">
      <c r="B1308" s="2"/>
      <c r="AO1308" s="2"/>
    </row>
    <row r="1309" spans="2:41" ht="13" x14ac:dyDescent="0.15">
      <c r="B1309" s="2"/>
      <c r="D1309" s="2"/>
      <c r="H1309" s="2"/>
      <c r="I1309" s="2"/>
      <c r="N1309" s="2"/>
      <c r="Q1309" s="2"/>
      <c r="S1309" s="2"/>
      <c r="T1309" s="2"/>
      <c r="X1309" s="2"/>
      <c r="AA1309" s="2"/>
      <c r="AC1309" s="2"/>
      <c r="AO1309" s="2"/>
    </row>
    <row r="1310" spans="2:41" ht="13" x14ac:dyDescent="0.15">
      <c r="B1310" s="2"/>
      <c r="C1310" s="2"/>
      <c r="D1310" s="2"/>
      <c r="G1310" s="2"/>
      <c r="I1310" s="2"/>
      <c r="M1310" s="2"/>
      <c r="N1310" s="2"/>
      <c r="Q1310" s="2"/>
      <c r="S1310" s="2"/>
      <c r="W1310" s="2"/>
      <c r="X1310" s="2"/>
      <c r="AA1310" s="2"/>
      <c r="AC1310" s="2"/>
      <c r="AG1310" s="2"/>
      <c r="AO1310" s="2"/>
    </row>
    <row r="1311" spans="2:41" ht="13" x14ac:dyDescent="0.15">
      <c r="B1311" s="2"/>
      <c r="AO1311" s="2"/>
    </row>
    <row r="1312" spans="2:41" ht="13" x14ac:dyDescent="0.15">
      <c r="B1312" s="2"/>
      <c r="AO1312" s="2"/>
    </row>
    <row r="1313" spans="2:41" ht="13" x14ac:dyDescent="0.15">
      <c r="B1313" s="2"/>
      <c r="AO1313" s="2"/>
    </row>
    <row r="1314" spans="2:41" ht="13" x14ac:dyDescent="0.15">
      <c r="B1314" s="2"/>
      <c r="AO1314" s="2"/>
    </row>
    <row r="1315" spans="2:41" ht="13" x14ac:dyDescent="0.15">
      <c r="B1315" s="2"/>
      <c r="D1315" s="2"/>
      <c r="N1315" s="2"/>
      <c r="X1315" s="2"/>
      <c r="AO1315" s="2"/>
    </row>
    <row r="1316" spans="2:41" ht="13" x14ac:dyDescent="0.15">
      <c r="B1316" s="2"/>
      <c r="AO1316" s="2"/>
    </row>
    <row r="1317" spans="2:41" ht="13" x14ac:dyDescent="0.15">
      <c r="B1317" s="2"/>
      <c r="N1317" s="2"/>
      <c r="X1317" s="2"/>
      <c r="AO1317" s="2"/>
    </row>
    <row r="1318" spans="2:41" ht="13" x14ac:dyDescent="0.15">
      <c r="B1318" s="2"/>
      <c r="D1318" s="2"/>
      <c r="N1318" s="2"/>
      <c r="X1318" s="2"/>
      <c r="AO1318" s="2"/>
    </row>
    <row r="1319" spans="2:41" ht="13" x14ac:dyDescent="0.15">
      <c r="B1319" s="2"/>
      <c r="AO1319" s="2"/>
    </row>
    <row r="1320" spans="2:41" ht="13" x14ac:dyDescent="0.15">
      <c r="B1320" s="2"/>
      <c r="AO1320" s="2"/>
    </row>
    <row r="1321" spans="2:41" ht="13" x14ac:dyDescent="0.15">
      <c r="B1321" s="2"/>
      <c r="AO1321" s="2"/>
    </row>
    <row r="1322" spans="2:41" ht="13" x14ac:dyDescent="0.15">
      <c r="B1322" s="2"/>
      <c r="AO1322" s="2"/>
    </row>
    <row r="1323" spans="2:41" ht="13" x14ac:dyDescent="0.15">
      <c r="B1323" s="2"/>
      <c r="AO1323" s="2"/>
    </row>
    <row r="1324" spans="2:41" ht="13" x14ac:dyDescent="0.15">
      <c r="B1324" s="2"/>
      <c r="AO1324" s="2"/>
    </row>
    <row r="1325" spans="2:41" ht="13" x14ac:dyDescent="0.15">
      <c r="B1325" s="2"/>
      <c r="AO1325" s="2"/>
    </row>
    <row r="1326" spans="2:41" ht="13" x14ac:dyDescent="0.15">
      <c r="B1326" s="2"/>
      <c r="C1326" s="2"/>
      <c r="D1326" s="2"/>
      <c r="M1326" s="2"/>
      <c r="N1326" s="2"/>
      <c r="Q1326" s="2"/>
      <c r="S1326" s="2"/>
      <c r="W1326" s="2"/>
      <c r="X1326" s="2"/>
      <c r="AA1326" s="2"/>
      <c r="AC1326" s="2"/>
      <c r="AG1326" s="2"/>
      <c r="AO1326" s="2"/>
    </row>
    <row r="1327" spans="2:41" ht="13" x14ac:dyDescent="0.15">
      <c r="B1327" s="2"/>
      <c r="D1327" s="2"/>
      <c r="N1327" s="2"/>
      <c r="Q1327" s="2"/>
      <c r="W1327" s="2"/>
      <c r="X1327" s="2"/>
      <c r="AO1327" s="2"/>
    </row>
    <row r="1328" spans="2:41" ht="13" x14ac:dyDescent="0.15">
      <c r="B1328" s="2"/>
      <c r="D1328" s="2"/>
      <c r="M1328" s="2"/>
      <c r="N1328" s="2"/>
      <c r="W1328" s="2"/>
      <c r="AO1328" s="2"/>
    </row>
    <row r="1329" spans="2:41" ht="13" x14ac:dyDescent="0.15">
      <c r="B1329" s="2"/>
      <c r="AO1329" s="2"/>
    </row>
    <row r="1330" spans="2:41" ht="13" x14ac:dyDescent="0.15">
      <c r="B1330" s="2"/>
      <c r="D1330" s="2"/>
      <c r="M1330" s="2"/>
      <c r="W1330" s="2"/>
      <c r="AO1330" s="2"/>
    </row>
    <row r="1331" spans="2:41" ht="13" x14ac:dyDescent="0.15">
      <c r="B1331" s="2"/>
      <c r="AO1331" s="2"/>
    </row>
    <row r="1332" spans="2:41" ht="13" x14ac:dyDescent="0.15">
      <c r="B1332" s="2"/>
      <c r="AO1332" s="2"/>
    </row>
    <row r="1333" spans="2:41" ht="13" x14ac:dyDescent="0.15">
      <c r="B1333" s="2"/>
      <c r="AO1333" s="2"/>
    </row>
    <row r="1334" spans="2:41" ht="13" x14ac:dyDescent="0.15">
      <c r="B1334" s="2"/>
      <c r="AO1334" s="2"/>
    </row>
    <row r="1335" spans="2:41" ht="13" x14ac:dyDescent="0.15">
      <c r="B1335" s="2"/>
      <c r="C1335" s="2"/>
      <c r="D1335" s="2"/>
      <c r="M1335" s="2"/>
      <c r="N1335" s="2"/>
      <c r="W1335" s="2"/>
      <c r="X1335" s="2"/>
      <c r="AG1335" s="2"/>
      <c r="AO1335" s="2"/>
    </row>
    <row r="1336" spans="2:41" ht="13" x14ac:dyDescent="0.15">
      <c r="B1336" s="2"/>
      <c r="M1336" s="2"/>
      <c r="W1336" s="2"/>
      <c r="AO1336" s="2"/>
    </row>
    <row r="1337" spans="2:41" ht="13" x14ac:dyDescent="0.15">
      <c r="B1337" s="2"/>
      <c r="AO1337" s="2"/>
    </row>
    <row r="1338" spans="2:41" ht="13" x14ac:dyDescent="0.15">
      <c r="B1338" s="2"/>
      <c r="AO1338" s="2"/>
    </row>
    <row r="1339" spans="2:41" ht="13" x14ac:dyDescent="0.15">
      <c r="B1339" s="2"/>
      <c r="AO1339" s="2"/>
    </row>
    <row r="1340" spans="2:41" ht="13" x14ac:dyDescent="0.15">
      <c r="B1340" s="2"/>
      <c r="AO1340" s="2"/>
    </row>
    <row r="1341" spans="2:41" ht="13" x14ac:dyDescent="0.15">
      <c r="B1341" s="2"/>
      <c r="AO1341" s="2"/>
    </row>
    <row r="1342" spans="2:41" ht="13" x14ac:dyDescent="0.15">
      <c r="B1342" s="2"/>
      <c r="AO1342" s="2"/>
    </row>
    <row r="1343" spans="2:41" ht="13" x14ac:dyDescent="0.15">
      <c r="B1343" s="2"/>
      <c r="AO1343" s="2"/>
    </row>
    <row r="1344" spans="2:41" ht="13" x14ac:dyDescent="0.15">
      <c r="B1344" s="2"/>
      <c r="AO1344" s="2"/>
    </row>
    <row r="1345" spans="2:41" ht="13" x14ac:dyDescent="0.15">
      <c r="B1345" s="2"/>
      <c r="M1345" s="2"/>
      <c r="W1345" s="2"/>
      <c r="AO1345" s="2"/>
    </row>
    <row r="1346" spans="2:41" ht="13" x14ac:dyDescent="0.15">
      <c r="B1346" s="2"/>
      <c r="C1346" s="2"/>
      <c r="D1346" s="2"/>
      <c r="G1346" s="2"/>
      <c r="I1346" s="2"/>
      <c r="M1346" s="2"/>
      <c r="N1346" s="2"/>
      <c r="Q1346" s="2"/>
      <c r="S1346" s="2"/>
      <c r="W1346" s="2"/>
      <c r="X1346" s="2"/>
      <c r="AA1346" s="2"/>
      <c r="AC1346" s="2"/>
      <c r="AG1346" s="2"/>
      <c r="AO1346" s="2"/>
    </row>
    <row r="1347" spans="2:41" ht="13" x14ac:dyDescent="0.15">
      <c r="B1347" s="2"/>
      <c r="AO1347" s="2"/>
    </row>
    <row r="1348" spans="2:41" ht="13" x14ac:dyDescent="0.15">
      <c r="B1348" s="2"/>
      <c r="D1348" s="2"/>
      <c r="M1348" s="2"/>
      <c r="N1348" s="2"/>
      <c r="W1348" s="2"/>
      <c r="X1348" s="2"/>
      <c r="AO1348" s="2"/>
    </row>
    <row r="1349" spans="2:41" ht="13" x14ac:dyDescent="0.15">
      <c r="B1349" s="2"/>
      <c r="AO1349" s="2"/>
    </row>
    <row r="1350" spans="2:41" ht="13" x14ac:dyDescent="0.15">
      <c r="B1350" s="2"/>
      <c r="D1350" s="2"/>
      <c r="N1350" s="2"/>
      <c r="X1350" s="2"/>
      <c r="AO1350" s="2"/>
    </row>
    <row r="1351" spans="2:41" ht="13" x14ac:dyDescent="0.15">
      <c r="B1351" s="2"/>
      <c r="AO1351" s="2"/>
    </row>
    <row r="1352" spans="2:41" ht="13" x14ac:dyDescent="0.15">
      <c r="B1352" s="2"/>
      <c r="C1352" s="2"/>
      <c r="D1352" s="2"/>
      <c r="G1352" s="2"/>
      <c r="M1352" s="2"/>
      <c r="N1352" s="2"/>
      <c r="Q1352" s="2"/>
      <c r="W1352" s="2"/>
      <c r="X1352" s="2"/>
      <c r="AO1352" s="2"/>
    </row>
    <row r="1353" spans="2:41" ht="13" x14ac:dyDescent="0.15">
      <c r="B1353" s="2"/>
      <c r="AO1353" s="2"/>
    </row>
    <row r="1354" spans="2:41" ht="13" x14ac:dyDescent="0.15">
      <c r="B1354" s="2"/>
      <c r="AO1354" s="2"/>
    </row>
    <row r="1355" spans="2:41" ht="13" x14ac:dyDescent="0.15">
      <c r="B1355" s="2"/>
      <c r="AO1355" s="2"/>
    </row>
    <row r="1356" spans="2:41" ht="13" x14ac:dyDescent="0.15">
      <c r="B1356" s="2"/>
      <c r="AO1356" s="2"/>
    </row>
    <row r="1357" spans="2:41" ht="13" x14ac:dyDescent="0.15">
      <c r="B1357" s="2"/>
      <c r="AO1357" s="2"/>
    </row>
    <row r="1358" spans="2:41" ht="13" x14ac:dyDescent="0.15">
      <c r="B1358" s="2"/>
      <c r="AO1358" s="2"/>
    </row>
    <row r="1359" spans="2:41" ht="13" x14ac:dyDescent="0.15">
      <c r="B1359" s="2"/>
      <c r="AO1359" s="2"/>
    </row>
    <row r="1360" spans="2:41" ht="13" x14ac:dyDescent="0.15">
      <c r="B1360" s="2"/>
      <c r="D1360" s="2"/>
      <c r="N1360" s="2"/>
      <c r="AO1360" s="2"/>
    </row>
    <row r="1361" spans="2:41" ht="13" x14ac:dyDescent="0.15">
      <c r="B1361" s="2"/>
      <c r="AO1361" s="2"/>
    </row>
    <row r="1362" spans="2:41" ht="13" x14ac:dyDescent="0.15">
      <c r="B1362" s="2"/>
      <c r="AO1362" s="2"/>
    </row>
    <row r="1363" spans="2:41" ht="13" x14ac:dyDescent="0.15">
      <c r="B1363" s="2"/>
      <c r="AO1363" s="2"/>
    </row>
    <row r="1364" spans="2:41" ht="13" x14ac:dyDescent="0.15">
      <c r="B1364" s="2"/>
      <c r="AO1364" s="2"/>
    </row>
    <row r="1365" spans="2:41" ht="13" x14ac:dyDescent="0.15">
      <c r="B1365" s="2"/>
      <c r="AO1365" s="2"/>
    </row>
    <row r="1366" spans="2:41" ht="13" x14ac:dyDescent="0.15">
      <c r="B1366" s="2"/>
      <c r="C1366" s="2"/>
      <c r="D1366" s="2"/>
      <c r="K1366" s="2"/>
      <c r="M1366" s="2"/>
      <c r="N1366" s="2"/>
      <c r="Q1366" s="2"/>
      <c r="S1366" s="2"/>
      <c r="U1366" s="2"/>
      <c r="W1366" s="2"/>
      <c r="X1366" s="2"/>
      <c r="AG1366" s="2"/>
      <c r="AO1366" s="2"/>
    </row>
    <row r="1367" spans="2:41" ht="13" x14ac:dyDescent="0.15">
      <c r="B1367" s="2"/>
      <c r="C1367" s="2"/>
      <c r="D1367" s="2"/>
      <c r="M1367" s="2"/>
      <c r="N1367" s="2"/>
      <c r="S1367" s="2"/>
      <c r="W1367" s="2"/>
      <c r="AO1367" s="2"/>
    </row>
    <row r="1368" spans="2:41" ht="13" x14ac:dyDescent="0.15">
      <c r="B1368" s="2"/>
      <c r="AO1368" s="2"/>
    </row>
    <row r="1369" spans="2:41" ht="13" x14ac:dyDescent="0.15">
      <c r="B1369" s="2"/>
      <c r="AO1369" s="2"/>
    </row>
    <row r="1370" spans="2:41" ht="13" x14ac:dyDescent="0.15">
      <c r="B1370" s="2"/>
      <c r="AO1370" s="2"/>
    </row>
    <row r="1371" spans="2:41" ht="13" x14ac:dyDescent="0.15">
      <c r="B1371" s="2"/>
      <c r="AO1371" s="2"/>
    </row>
    <row r="1372" spans="2:41" ht="13" x14ac:dyDescent="0.15">
      <c r="B1372" s="2"/>
      <c r="AO1372" s="2"/>
    </row>
    <row r="1373" spans="2:41" ht="13" x14ac:dyDescent="0.15">
      <c r="B1373" s="2"/>
      <c r="AO1373" s="2"/>
    </row>
    <row r="1374" spans="2:41" ht="13" x14ac:dyDescent="0.15">
      <c r="B1374" s="2"/>
      <c r="AO1374" s="2"/>
    </row>
    <row r="1375" spans="2:41" ht="13" x14ac:dyDescent="0.15">
      <c r="B1375" s="2"/>
      <c r="D1375" s="2"/>
      <c r="M1375" s="2"/>
      <c r="N1375" s="2"/>
      <c r="W1375" s="2"/>
      <c r="AO1375" s="2"/>
    </row>
    <row r="1376" spans="2:41" ht="13" x14ac:dyDescent="0.15">
      <c r="B1376" s="2"/>
      <c r="AO1376" s="2"/>
    </row>
    <row r="1377" spans="2:41" ht="13" x14ac:dyDescent="0.15">
      <c r="B1377" s="2"/>
      <c r="AO1377" s="2"/>
    </row>
    <row r="1378" spans="2:41" ht="13" x14ac:dyDescent="0.15">
      <c r="B1378" s="2"/>
      <c r="AO1378" s="2"/>
    </row>
    <row r="1379" spans="2:41" ht="13" x14ac:dyDescent="0.15">
      <c r="B1379" s="2"/>
      <c r="AO1379" s="2"/>
    </row>
    <row r="1380" spans="2:41" ht="13" x14ac:dyDescent="0.15">
      <c r="B1380" s="2"/>
      <c r="AO1380" s="2"/>
    </row>
    <row r="1381" spans="2:41" ht="13" x14ac:dyDescent="0.15">
      <c r="B1381" s="2"/>
      <c r="AO1381" s="2"/>
    </row>
    <row r="1382" spans="2:41" ht="13" x14ac:dyDescent="0.15">
      <c r="B1382" s="2"/>
      <c r="AO1382" s="2"/>
    </row>
    <row r="1383" spans="2:41" ht="13" x14ac:dyDescent="0.15">
      <c r="B1383" s="2"/>
      <c r="AO1383" s="2"/>
    </row>
    <row r="1384" spans="2:41" ht="13" x14ac:dyDescent="0.15">
      <c r="B1384" s="2"/>
      <c r="D1384" s="2"/>
      <c r="M1384" s="2"/>
      <c r="N1384" s="2"/>
      <c r="W1384" s="2"/>
      <c r="AO1384" s="2"/>
    </row>
    <row r="1385" spans="2:41" ht="13" x14ac:dyDescent="0.15">
      <c r="B1385" s="2"/>
      <c r="AO1385" s="2"/>
    </row>
    <row r="1386" spans="2:41" ht="13" x14ac:dyDescent="0.15">
      <c r="B1386" s="2"/>
      <c r="AO1386" s="2"/>
    </row>
    <row r="1387" spans="2:41" ht="13" x14ac:dyDescent="0.15">
      <c r="B1387" s="2"/>
      <c r="AO1387" s="2"/>
    </row>
    <row r="1388" spans="2:41" ht="13" x14ac:dyDescent="0.15">
      <c r="B1388" s="2"/>
      <c r="AO1388" s="2"/>
    </row>
    <row r="1389" spans="2:41" ht="13" x14ac:dyDescent="0.15">
      <c r="B1389" s="2"/>
      <c r="C1389" s="2"/>
      <c r="D1389" s="2"/>
      <c r="G1389" s="2"/>
      <c r="M1389" s="2"/>
      <c r="N1389" s="2"/>
      <c r="W1389" s="2"/>
      <c r="X1389" s="2"/>
      <c r="AO1389" s="2"/>
    </row>
    <row r="1390" spans="2:41" ht="13" x14ac:dyDescent="0.15">
      <c r="B1390" s="2"/>
      <c r="C1390" s="2"/>
      <c r="D1390" s="2"/>
      <c r="M1390" s="2"/>
      <c r="N1390" s="2"/>
      <c r="W1390" s="2"/>
      <c r="X1390" s="2"/>
      <c r="AO1390" s="2"/>
    </row>
    <row r="1391" spans="2:41" ht="13" x14ac:dyDescent="0.15">
      <c r="B1391" s="2"/>
      <c r="C1391" s="2"/>
      <c r="D1391" s="2"/>
      <c r="M1391" s="2"/>
      <c r="N1391" s="2"/>
      <c r="W1391" s="2"/>
      <c r="AO1391" s="2"/>
    </row>
    <row r="1392" spans="2:41" ht="13" x14ac:dyDescent="0.15">
      <c r="B1392" s="2"/>
      <c r="AO1392" s="2"/>
    </row>
    <row r="1393" spans="2:41" ht="13" x14ac:dyDescent="0.15">
      <c r="B1393" s="2"/>
      <c r="C1393" s="2"/>
      <c r="D1393" s="2"/>
      <c r="F1393" s="2"/>
      <c r="G1393" s="2"/>
      <c r="H1393" s="2"/>
      <c r="I1393" s="2"/>
      <c r="M1393" s="2"/>
      <c r="N1393" s="2"/>
      <c r="P1393" s="2"/>
      <c r="Q1393" s="2"/>
      <c r="R1393" s="2"/>
      <c r="S1393" s="2"/>
      <c r="T1393" s="2"/>
      <c r="U1393" s="2"/>
      <c r="W1393" s="2"/>
      <c r="X1393" s="2"/>
      <c r="Z1393" s="2"/>
      <c r="AA1393" s="2"/>
      <c r="AB1393" s="2"/>
      <c r="AC1393" s="2"/>
      <c r="AD1393" s="2"/>
      <c r="AE1393" s="2"/>
      <c r="AG1393" s="2"/>
      <c r="AH1393" s="2"/>
      <c r="AM1393" s="2"/>
      <c r="AO1393" s="2"/>
    </row>
    <row r="1394" spans="2:41" ht="13" x14ac:dyDescent="0.15">
      <c r="B1394" s="2"/>
      <c r="D1394" s="2"/>
      <c r="F1394" s="2"/>
      <c r="G1394" s="2"/>
      <c r="H1394" s="2"/>
      <c r="I1394" s="2"/>
      <c r="M1394" s="2"/>
      <c r="N1394" s="2"/>
      <c r="P1394" s="2"/>
      <c r="Q1394" s="2"/>
      <c r="R1394" s="2"/>
      <c r="S1394" s="2"/>
      <c r="T1394" s="2"/>
      <c r="W1394" s="2"/>
      <c r="X1394" s="2"/>
      <c r="Z1394" s="2"/>
      <c r="AA1394" s="2"/>
      <c r="AB1394" s="2"/>
      <c r="AC1394" s="2"/>
      <c r="AD1394" s="2"/>
      <c r="AG1394" s="2"/>
      <c r="AH1394" s="2"/>
      <c r="AM1394" s="2"/>
      <c r="AO1394" s="2"/>
    </row>
    <row r="1395" spans="2:41" ht="13" x14ac:dyDescent="0.15">
      <c r="B1395" s="2"/>
      <c r="N1395" s="2"/>
      <c r="X1395" s="2"/>
      <c r="AO1395" s="2"/>
    </row>
    <row r="1396" spans="2:41" ht="13" x14ac:dyDescent="0.15">
      <c r="B1396" s="2"/>
      <c r="AO1396" s="2"/>
    </row>
    <row r="1397" spans="2:41" ht="13" x14ac:dyDescent="0.15">
      <c r="B1397" s="2"/>
      <c r="AO1397" s="2"/>
    </row>
    <row r="1398" spans="2:41" ht="13" x14ac:dyDescent="0.15">
      <c r="B1398" s="2"/>
      <c r="C1398" s="2"/>
      <c r="D1398" s="2"/>
      <c r="F1398" s="2"/>
      <c r="G1398" s="2"/>
      <c r="H1398" s="2"/>
      <c r="I1398" s="2"/>
      <c r="M1398" s="2"/>
      <c r="N1398" s="2"/>
      <c r="P1398" s="2"/>
      <c r="Q1398" s="2"/>
      <c r="S1398" s="2"/>
      <c r="W1398" s="2"/>
      <c r="X1398" s="2"/>
      <c r="AA1398" s="2"/>
      <c r="AC1398" s="2"/>
      <c r="AG1398" s="2"/>
      <c r="AO1398" s="2"/>
    </row>
    <row r="1399" spans="2:41" ht="13" x14ac:dyDescent="0.15">
      <c r="B1399" s="2"/>
      <c r="D1399" s="2"/>
      <c r="G1399" s="2"/>
      <c r="H1399" s="2"/>
      <c r="I1399" s="2"/>
      <c r="M1399" s="2"/>
      <c r="N1399" s="2"/>
      <c r="Q1399" s="2"/>
      <c r="S1399" s="2"/>
      <c r="W1399" s="2"/>
      <c r="X1399" s="2"/>
      <c r="AA1399" s="2"/>
      <c r="AC1399" s="2"/>
      <c r="AO1399" s="2"/>
    </row>
    <row r="1400" spans="2:41" ht="13" x14ac:dyDescent="0.15">
      <c r="B1400" s="2"/>
      <c r="AO1400" s="2"/>
    </row>
    <row r="1401" spans="2:41" ht="13" x14ac:dyDescent="0.15">
      <c r="B1401" s="2"/>
      <c r="D1401" s="2"/>
      <c r="M1401" s="2"/>
      <c r="N1401" s="2"/>
      <c r="W1401" s="2"/>
      <c r="X1401" s="2"/>
      <c r="AO1401" s="2"/>
    </row>
    <row r="1402" spans="2:41" ht="13" x14ac:dyDescent="0.15">
      <c r="B1402" s="2"/>
      <c r="AO1402" s="2"/>
    </row>
    <row r="1403" spans="2:41" ht="13" x14ac:dyDescent="0.15">
      <c r="B1403" s="2"/>
      <c r="AO1403" s="2"/>
    </row>
    <row r="1404" spans="2:41" ht="13" x14ac:dyDescent="0.15">
      <c r="B1404" s="2"/>
      <c r="D1404" s="2"/>
      <c r="N1404" s="2"/>
      <c r="AO1404" s="2"/>
    </row>
    <row r="1405" spans="2:41" ht="13" x14ac:dyDescent="0.15">
      <c r="B1405" s="2"/>
      <c r="D1405" s="2"/>
      <c r="N1405" s="2"/>
      <c r="S1405" s="2"/>
      <c r="X1405" s="2"/>
      <c r="AO1405" s="2"/>
    </row>
    <row r="1406" spans="2:41" ht="13" x14ac:dyDescent="0.15">
      <c r="B1406" s="2"/>
      <c r="N1406" s="2"/>
      <c r="AO1406" s="2"/>
    </row>
    <row r="1407" spans="2:41" ht="13" x14ac:dyDescent="0.15">
      <c r="B1407" s="2"/>
      <c r="AO1407" s="2"/>
    </row>
    <row r="1408" spans="2:41" ht="13" x14ac:dyDescent="0.15">
      <c r="B1408" s="2"/>
      <c r="AO1408" s="2"/>
    </row>
    <row r="1409" spans="2:41" ht="13" x14ac:dyDescent="0.15">
      <c r="B1409" s="2"/>
      <c r="X1409" s="2"/>
      <c r="AO1409" s="2"/>
    </row>
    <row r="1410" spans="2:41" ht="13" x14ac:dyDescent="0.15">
      <c r="B1410" s="2"/>
      <c r="D1410" s="2"/>
      <c r="N1410" s="2"/>
      <c r="X1410" s="2"/>
      <c r="AO1410" s="2"/>
    </row>
    <row r="1411" spans="2:41" ht="13" x14ac:dyDescent="0.15">
      <c r="B1411" s="2"/>
      <c r="D1411" s="2"/>
      <c r="N1411" s="2"/>
      <c r="X1411" s="2"/>
      <c r="AO1411" s="2"/>
    </row>
    <row r="1412" spans="2:41" ht="13" x14ac:dyDescent="0.15">
      <c r="B1412" s="2"/>
      <c r="AO1412" s="2"/>
    </row>
    <row r="1413" spans="2:41" ht="13" x14ac:dyDescent="0.15">
      <c r="B1413" s="2"/>
      <c r="D1413" s="2"/>
      <c r="N1413" s="2"/>
      <c r="X1413" s="2"/>
      <c r="AO1413" s="2"/>
    </row>
    <row r="1414" spans="2:41" ht="13" x14ac:dyDescent="0.15">
      <c r="B1414" s="2"/>
      <c r="C1414" s="2"/>
      <c r="D1414" s="2"/>
      <c r="G1414" s="2"/>
      <c r="M1414" s="2"/>
      <c r="N1414" s="2"/>
      <c r="Q1414" s="2"/>
      <c r="S1414" s="2"/>
      <c r="W1414" s="2"/>
      <c r="X1414" s="2"/>
      <c r="AA1414" s="2"/>
      <c r="AG1414" s="2"/>
      <c r="AO1414" s="2"/>
    </row>
    <row r="1415" spans="2:41" ht="13" x14ac:dyDescent="0.15">
      <c r="B1415" s="2"/>
      <c r="D1415" s="2"/>
      <c r="N1415" s="2"/>
      <c r="X1415" s="2"/>
      <c r="AO1415" s="2"/>
    </row>
    <row r="1416" spans="2:41" ht="13" x14ac:dyDescent="0.15">
      <c r="B1416" s="2"/>
      <c r="AO1416" s="2"/>
    </row>
    <row r="1417" spans="2:41" ht="13" x14ac:dyDescent="0.15">
      <c r="B1417" s="2"/>
      <c r="AO1417" s="2"/>
    </row>
    <row r="1418" spans="2:41" ht="13" x14ac:dyDescent="0.15">
      <c r="B1418" s="2"/>
      <c r="AO1418" s="2"/>
    </row>
    <row r="1419" spans="2:41" ht="13" x14ac:dyDescent="0.15">
      <c r="B1419" s="2"/>
      <c r="N1419" s="2"/>
      <c r="AO1419" s="2"/>
    </row>
    <row r="1420" spans="2:41" ht="13" x14ac:dyDescent="0.15">
      <c r="B1420" s="2"/>
      <c r="AO1420" s="2"/>
    </row>
    <row r="1421" spans="2:41" ht="13" x14ac:dyDescent="0.15">
      <c r="B1421" s="2"/>
      <c r="C1421" s="2"/>
      <c r="D1421" s="2"/>
      <c r="F1421" s="2"/>
      <c r="G1421" s="2"/>
      <c r="H1421" s="2"/>
      <c r="I1421" s="2"/>
      <c r="M1421" s="2"/>
      <c r="N1421" s="2"/>
      <c r="P1421" s="2"/>
      <c r="Q1421" s="2"/>
      <c r="S1421" s="2"/>
      <c r="U1421" s="2"/>
      <c r="W1421" s="2"/>
      <c r="X1421" s="2"/>
      <c r="AA1421" s="2"/>
      <c r="AC1421" s="2"/>
      <c r="AG1421" s="2"/>
      <c r="AH1421" s="2"/>
      <c r="AO1421" s="2"/>
    </row>
    <row r="1422" spans="2:41" ht="13" x14ac:dyDescent="0.15">
      <c r="B1422" s="2"/>
      <c r="D1422" s="2"/>
      <c r="I1422" s="2"/>
      <c r="M1422" s="2"/>
      <c r="N1422" s="2"/>
      <c r="Q1422" s="2"/>
      <c r="S1422" s="2"/>
      <c r="W1422" s="2"/>
      <c r="X1422" s="2"/>
      <c r="AA1422" s="2"/>
      <c r="AC1422" s="2"/>
      <c r="AO1422" s="2"/>
    </row>
    <row r="1423" spans="2:41" ht="13" x14ac:dyDescent="0.15">
      <c r="B1423" s="2"/>
      <c r="AO1423" s="2"/>
    </row>
    <row r="1424" spans="2:41" ht="13" x14ac:dyDescent="0.15">
      <c r="B1424" s="2"/>
      <c r="AO1424" s="2"/>
    </row>
    <row r="1425" spans="2:41" ht="13" x14ac:dyDescent="0.15">
      <c r="B1425" s="2"/>
      <c r="N1425" s="2"/>
      <c r="AO1425" s="2"/>
    </row>
    <row r="1426" spans="2:41" ht="13" x14ac:dyDescent="0.15">
      <c r="B1426" s="2"/>
      <c r="AO1426" s="2"/>
    </row>
    <row r="1427" spans="2:41" ht="13" x14ac:dyDescent="0.15">
      <c r="B1427" s="2"/>
      <c r="C1427" s="2"/>
      <c r="D1427" s="2"/>
      <c r="M1427" s="2"/>
      <c r="N1427" s="2"/>
      <c r="W1427" s="2"/>
      <c r="AO1427" s="2"/>
    </row>
    <row r="1428" spans="2:41" ht="13" x14ac:dyDescent="0.15">
      <c r="B1428" s="2"/>
      <c r="D1428" s="2"/>
      <c r="N1428" s="2"/>
      <c r="W1428" s="2"/>
      <c r="X1428" s="2"/>
      <c r="AO1428" s="2"/>
    </row>
    <row r="1429" spans="2:41" ht="13" x14ac:dyDescent="0.15">
      <c r="B1429" s="2"/>
      <c r="C1429" s="2"/>
      <c r="D1429" s="2"/>
      <c r="M1429" s="2"/>
      <c r="N1429" s="2"/>
      <c r="W1429" s="2"/>
      <c r="X1429" s="2"/>
      <c r="AO1429" s="2"/>
    </row>
    <row r="1430" spans="2:41" ht="13" x14ac:dyDescent="0.15">
      <c r="B1430" s="2"/>
      <c r="AO1430" s="2"/>
    </row>
    <row r="1431" spans="2:41" ht="13" x14ac:dyDescent="0.15">
      <c r="B1431" s="2"/>
      <c r="AO1431" s="2"/>
    </row>
    <row r="1432" spans="2:41" ht="13" x14ac:dyDescent="0.15">
      <c r="B1432" s="2"/>
      <c r="AO1432" s="2"/>
    </row>
    <row r="1433" spans="2:41" ht="13" x14ac:dyDescent="0.15">
      <c r="B1433" s="2"/>
      <c r="D1433" s="2"/>
      <c r="N1433" s="2"/>
      <c r="AO1433" s="2"/>
    </row>
    <row r="1434" spans="2:41" ht="13" x14ac:dyDescent="0.15"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P1434" s="2"/>
      <c r="Q1434" s="2"/>
      <c r="R1434" s="2"/>
      <c r="S1434" s="2"/>
      <c r="T1434" s="2"/>
      <c r="U1434" s="2"/>
      <c r="V1434" s="2"/>
      <c r="W1434" s="2"/>
      <c r="X1434" s="2"/>
      <c r="Z1434" s="2"/>
      <c r="AA1434" s="2"/>
      <c r="AB1434" s="2"/>
      <c r="AC1434" s="2"/>
      <c r="AD1434" s="2"/>
      <c r="AE1434" s="2"/>
      <c r="AG1434" s="2"/>
      <c r="AH1434" s="2"/>
      <c r="AJ1434" s="2"/>
      <c r="AK1434" s="2"/>
      <c r="AL1434" s="2"/>
      <c r="AM1434" s="2"/>
      <c r="AN1434" s="2"/>
      <c r="AO1434" s="2"/>
    </row>
    <row r="1435" spans="2:41" ht="13" x14ac:dyDescent="0.15">
      <c r="B1435" s="2"/>
      <c r="D1435" s="2"/>
      <c r="F1435" s="2"/>
      <c r="G1435" s="2"/>
      <c r="H1435" s="2"/>
      <c r="I1435" s="2"/>
      <c r="M1435" s="2"/>
      <c r="N1435" s="2"/>
      <c r="P1435" s="2"/>
      <c r="Q1435" s="2"/>
      <c r="R1435" s="2"/>
      <c r="S1435" s="2"/>
      <c r="T1435" s="2"/>
      <c r="W1435" s="2"/>
      <c r="X1435" s="2"/>
      <c r="Z1435" s="2"/>
      <c r="AA1435" s="2"/>
      <c r="AB1435" s="2"/>
      <c r="AC1435" s="2"/>
      <c r="AD1435" s="2"/>
      <c r="AG1435" s="2"/>
      <c r="AH1435" s="2"/>
      <c r="AM1435" s="2"/>
      <c r="AO1435" s="2"/>
    </row>
    <row r="1436" spans="2:41" ht="13" x14ac:dyDescent="0.15">
      <c r="B1436" s="2"/>
      <c r="D1436" s="2"/>
      <c r="G1436" s="2"/>
      <c r="M1436" s="2"/>
      <c r="N1436" s="2"/>
      <c r="Q1436" s="2"/>
      <c r="W1436" s="2"/>
      <c r="X1436" s="2"/>
      <c r="AO1436" s="2"/>
    </row>
    <row r="1437" spans="2:41" ht="13" x14ac:dyDescent="0.15">
      <c r="B1437" s="2"/>
      <c r="C1437" s="2"/>
      <c r="D1437" s="2"/>
      <c r="F1437" s="2"/>
      <c r="G1437" s="2"/>
      <c r="H1437" s="2"/>
      <c r="I1437" s="2"/>
      <c r="M1437" s="2"/>
      <c r="N1437" s="2"/>
      <c r="P1437" s="2"/>
      <c r="Q1437" s="2"/>
      <c r="R1437" s="2"/>
      <c r="S1437" s="2"/>
      <c r="T1437" s="2"/>
      <c r="W1437" s="2"/>
      <c r="X1437" s="2"/>
      <c r="Z1437" s="2"/>
      <c r="AA1437" s="2"/>
      <c r="AB1437" s="2"/>
      <c r="AC1437" s="2"/>
      <c r="AD1437" s="2"/>
      <c r="AG1437" s="2"/>
      <c r="AH1437" s="2"/>
      <c r="AM1437" s="2"/>
      <c r="AO1437" s="2"/>
    </row>
    <row r="1438" spans="2:41" ht="13" x14ac:dyDescent="0.15">
      <c r="B1438" s="2"/>
      <c r="D1438" s="2"/>
      <c r="I1438" s="2"/>
      <c r="N1438" s="2"/>
      <c r="Q1438" s="2"/>
      <c r="S1438" s="2"/>
      <c r="T1438" s="2"/>
      <c r="X1438" s="2"/>
      <c r="AA1438" s="2"/>
      <c r="AC1438" s="2"/>
      <c r="AO1438" s="2"/>
    </row>
    <row r="1439" spans="2:41" ht="13" x14ac:dyDescent="0.15">
      <c r="B1439" s="2"/>
      <c r="D1439" s="2"/>
      <c r="F1439" s="2"/>
      <c r="G1439" s="2"/>
      <c r="H1439" s="2"/>
      <c r="I1439" s="2"/>
      <c r="N1439" s="2"/>
      <c r="P1439" s="2"/>
      <c r="Q1439" s="2"/>
      <c r="R1439" s="2"/>
      <c r="S1439" s="2"/>
      <c r="X1439" s="2"/>
      <c r="AA1439" s="2"/>
      <c r="AB1439" s="2"/>
      <c r="AC1439" s="2"/>
      <c r="AH1439" s="2"/>
      <c r="AO1439" s="2"/>
    </row>
    <row r="1440" spans="2:41" ht="13" x14ac:dyDescent="0.15">
      <c r="B1440" s="2"/>
      <c r="C1440" s="2"/>
      <c r="D1440" s="2"/>
      <c r="F1440" s="2"/>
      <c r="G1440" s="2"/>
      <c r="H1440" s="2"/>
      <c r="I1440" s="2"/>
      <c r="M1440" s="2"/>
      <c r="N1440" s="2"/>
      <c r="P1440" s="2"/>
      <c r="Q1440" s="2"/>
      <c r="R1440" s="2"/>
      <c r="S1440" s="2"/>
      <c r="W1440" s="2"/>
      <c r="X1440" s="2"/>
      <c r="Z1440" s="2"/>
      <c r="AA1440" s="2"/>
      <c r="AB1440" s="2"/>
      <c r="AC1440" s="2"/>
      <c r="AG1440" s="2"/>
      <c r="AH1440" s="2"/>
      <c r="AO1440" s="2"/>
    </row>
    <row r="1441" spans="2:41" ht="13" x14ac:dyDescent="0.15">
      <c r="B1441" s="2"/>
      <c r="D1441" s="2"/>
      <c r="N1441" s="2"/>
      <c r="Q1441" s="2"/>
      <c r="S1441" s="2"/>
      <c r="X1441" s="2"/>
      <c r="AC1441" s="2"/>
      <c r="AO1441" s="2"/>
    </row>
    <row r="1442" spans="2:41" ht="13" x14ac:dyDescent="0.15">
      <c r="B1442" s="2"/>
      <c r="D1442" s="2"/>
      <c r="F1442" s="2"/>
      <c r="G1442" s="2"/>
      <c r="H1442" s="2"/>
      <c r="I1442" s="2"/>
      <c r="M1442" s="2"/>
      <c r="N1442" s="2"/>
      <c r="P1442" s="2"/>
      <c r="Q1442" s="2"/>
      <c r="R1442" s="2"/>
      <c r="S1442" s="2"/>
      <c r="T1442" s="2"/>
      <c r="W1442" s="2"/>
      <c r="X1442" s="2"/>
      <c r="Z1442" s="2"/>
      <c r="AA1442" s="2"/>
      <c r="AB1442" s="2"/>
      <c r="AC1442" s="2"/>
      <c r="AD1442" s="2"/>
      <c r="AG1442" s="2"/>
      <c r="AH1442" s="2"/>
      <c r="AO1442" s="2"/>
    </row>
    <row r="1443" spans="2:41" ht="13" x14ac:dyDescent="0.15">
      <c r="B1443" s="2"/>
      <c r="D1443" s="2"/>
      <c r="N1443" s="2"/>
      <c r="X1443" s="2"/>
      <c r="AO1443" s="2"/>
    </row>
    <row r="1444" spans="2:41" ht="13" x14ac:dyDescent="0.15">
      <c r="B1444" s="2"/>
      <c r="C1444" s="2"/>
      <c r="D1444" s="2"/>
      <c r="F1444" s="2"/>
      <c r="G1444" s="2"/>
      <c r="H1444" s="2"/>
      <c r="I1444" s="2"/>
      <c r="M1444" s="2"/>
      <c r="N1444" s="2"/>
      <c r="P1444" s="2"/>
      <c r="Q1444" s="2"/>
      <c r="R1444" s="2"/>
      <c r="S1444" s="2"/>
      <c r="T1444" s="2"/>
      <c r="W1444" s="2"/>
      <c r="X1444" s="2"/>
      <c r="Z1444" s="2"/>
      <c r="AA1444" s="2"/>
      <c r="AB1444" s="2"/>
      <c r="AC1444" s="2"/>
      <c r="AD1444" s="2"/>
      <c r="AG1444" s="2"/>
      <c r="AH1444" s="2"/>
      <c r="AO1444" s="2"/>
    </row>
    <row r="1445" spans="2:41" ht="13" x14ac:dyDescent="0.15">
      <c r="B1445" s="2"/>
      <c r="C1445" s="2"/>
      <c r="D1445" s="2"/>
      <c r="F1445" s="2"/>
      <c r="G1445" s="2"/>
      <c r="H1445" s="2"/>
      <c r="I1445" s="2"/>
      <c r="M1445" s="2"/>
      <c r="N1445" s="2"/>
      <c r="P1445" s="2"/>
      <c r="Q1445" s="2"/>
      <c r="R1445" s="2"/>
      <c r="S1445" s="2"/>
      <c r="W1445" s="2"/>
      <c r="X1445" s="2"/>
      <c r="Z1445" s="2"/>
      <c r="AA1445" s="2"/>
      <c r="AB1445" s="2"/>
      <c r="AC1445" s="2"/>
      <c r="AG1445" s="2"/>
      <c r="AH1445" s="2"/>
      <c r="AO1445" s="2"/>
    </row>
    <row r="1446" spans="2:41" ht="13" x14ac:dyDescent="0.15">
      <c r="B1446" s="2"/>
      <c r="D1446" s="2"/>
      <c r="F1446" s="2"/>
      <c r="G1446" s="2"/>
      <c r="H1446" s="2"/>
      <c r="I1446" s="2"/>
      <c r="M1446" s="2"/>
      <c r="N1446" s="2"/>
      <c r="P1446" s="2"/>
      <c r="Q1446" s="2"/>
      <c r="R1446" s="2"/>
      <c r="S1446" s="2"/>
      <c r="W1446" s="2"/>
      <c r="X1446" s="2"/>
      <c r="Z1446" s="2"/>
      <c r="AA1446" s="2"/>
      <c r="AB1446" s="2"/>
      <c r="AC1446" s="2"/>
      <c r="AG1446" s="2"/>
      <c r="AH1446" s="2"/>
      <c r="AO1446" s="2"/>
    </row>
    <row r="1447" spans="2:41" ht="13" x14ac:dyDescent="0.15">
      <c r="B1447" s="2"/>
      <c r="D1447" s="2"/>
      <c r="H1447" s="2"/>
      <c r="I1447" s="2"/>
      <c r="N1447" s="2"/>
      <c r="Q1447" s="2"/>
      <c r="R1447" s="2"/>
      <c r="S1447" s="2"/>
      <c r="T1447" s="2"/>
      <c r="X1447" s="2"/>
      <c r="AA1447" s="2"/>
      <c r="AB1447" s="2"/>
      <c r="AC1447" s="2"/>
      <c r="AD1447" s="2"/>
      <c r="AM1447" s="2"/>
      <c r="AO1447" s="2"/>
    </row>
    <row r="1448" spans="2:41" ht="13" x14ac:dyDescent="0.15">
      <c r="B1448" s="2"/>
      <c r="D1448" s="2"/>
      <c r="G1448" s="2"/>
      <c r="H1448" s="2"/>
      <c r="I1448" s="2"/>
      <c r="N1448" s="2"/>
      <c r="P1448" s="2"/>
      <c r="Q1448" s="2"/>
      <c r="R1448" s="2"/>
      <c r="S1448" s="2"/>
      <c r="T1448" s="2"/>
      <c r="X1448" s="2"/>
      <c r="AA1448" s="2"/>
      <c r="AB1448" s="2"/>
      <c r="AC1448" s="2"/>
      <c r="AD1448" s="2"/>
      <c r="AM1448" s="2"/>
      <c r="AO1448" s="2"/>
    </row>
    <row r="1449" spans="2:41" ht="13" x14ac:dyDescent="0.15">
      <c r="B1449" s="2"/>
      <c r="D1449" s="2"/>
      <c r="F1449" s="2"/>
      <c r="G1449" s="2"/>
      <c r="H1449" s="2"/>
      <c r="I1449" s="2"/>
      <c r="M1449" s="2"/>
      <c r="N1449" s="2"/>
      <c r="P1449" s="2"/>
      <c r="Q1449" s="2"/>
      <c r="R1449" s="2"/>
      <c r="S1449" s="2"/>
      <c r="W1449" s="2"/>
      <c r="X1449" s="2"/>
      <c r="Z1449" s="2"/>
      <c r="AA1449" s="2"/>
      <c r="AB1449" s="2"/>
      <c r="AC1449" s="2"/>
      <c r="AG1449" s="2"/>
      <c r="AH1449" s="2"/>
      <c r="AO1449" s="2"/>
    </row>
    <row r="1450" spans="2:41" ht="13" x14ac:dyDescent="0.15">
      <c r="B1450" s="2"/>
      <c r="D1450" s="2"/>
      <c r="H1450" s="2"/>
      <c r="I1450" s="2"/>
      <c r="N1450" s="2"/>
      <c r="Q1450" s="2"/>
      <c r="S1450" s="2"/>
      <c r="T1450" s="2"/>
      <c r="X1450" s="2"/>
      <c r="AA1450" s="2"/>
      <c r="AC1450" s="2"/>
      <c r="AO1450" s="2"/>
    </row>
    <row r="1451" spans="2:41" ht="13" x14ac:dyDescent="0.15">
      <c r="B1451" s="2"/>
      <c r="D1451" s="2"/>
      <c r="F1451" s="2"/>
      <c r="G1451" s="2"/>
      <c r="H1451" s="2"/>
      <c r="I1451" s="2"/>
      <c r="M1451" s="2"/>
      <c r="N1451" s="2"/>
      <c r="P1451" s="2"/>
      <c r="Q1451" s="2"/>
      <c r="R1451" s="2"/>
      <c r="S1451" s="2"/>
      <c r="T1451" s="2"/>
      <c r="W1451" s="2"/>
      <c r="X1451" s="2"/>
      <c r="Z1451" s="2"/>
      <c r="AA1451" s="2"/>
      <c r="AB1451" s="2"/>
      <c r="AC1451" s="2"/>
      <c r="AD1451" s="2"/>
      <c r="AG1451" s="2"/>
      <c r="AH1451" s="2"/>
      <c r="AM1451" s="2"/>
      <c r="AO1451" s="2"/>
    </row>
    <row r="1452" spans="2:41" ht="13" x14ac:dyDescent="0.15">
      <c r="B1452" s="2"/>
      <c r="C1452" s="2"/>
      <c r="D1452" s="2"/>
      <c r="F1452" s="2"/>
      <c r="G1452" s="2"/>
      <c r="H1452" s="2"/>
      <c r="I1452" s="2"/>
      <c r="M1452" s="2"/>
      <c r="N1452" s="2"/>
      <c r="P1452" s="2"/>
      <c r="Q1452" s="2"/>
      <c r="R1452" s="2"/>
      <c r="S1452" s="2"/>
      <c r="W1452" s="2"/>
      <c r="X1452" s="2"/>
      <c r="Z1452" s="2"/>
      <c r="AA1452" s="2"/>
      <c r="AB1452" s="2"/>
      <c r="AC1452" s="2"/>
      <c r="AD1452" s="2"/>
      <c r="AG1452" s="2"/>
      <c r="AH1452" s="2"/>
      <c r="AO1452" s="2"/>
    </row>
    <row r="1453" spans="2:41" ht="13" x14ac:dyDescent="0.15">
      <c r="B1453" s="2"/>
      <c r="D1453" s="2"/>
      <c r="F1453" s="2"/>
      <c r="G1453" s="2"/>
      <c r="H1453" s="2"/>
      <c r="I1453" s="2"/>
      <c r="M1453" s="2"/>
      <c r="N1453" s="2"/>
      <c r="P1453" s="2"/>
      <c r="Q1453" s="2"/>
      <c r="S1453" s="2"/>
      <c r="W1453" s="2"/>
      <c r="X1453" s="2"/>
      <c r="AA1453" s="2"/>
      <c r="AC1453" s="2"/>
      <c r="AO1453" s="2"/>
    </row>
    <row r="1454" spans="2:41" ht="13" x14ac:dyDescent="0.15">
      <c r="B1454" s="2"/>
      <c r="D1454" s="2"/>
      <c r="H1454" s="2"/>
      <c r="I1454" s="2"/>
      <c r="N1454" s="2"/>
      <c r="Q1454" s="2"/>
      <c r="R1454" s="2"/>
      <c r="S1454" s="2"/>
      <c r="T1454" s="2"/>
      <c r="X1454" s="2"/>
      <c r="AA1454" s="2"/>
      <c r="AB1454" s="2"/>
      <c r="AC1454" s="2"/>
      <c r="AD1454" s="2"/>
      <c r="AO1454" s="2"/>
    </row>
    <row r="1455" spans="2:41" ht="13" x14ac:dyDescent="0.15">
      <c r="B1455" s="2"/>
      <c r="D1455" s="2"/>
      <c r="H1455" s="2"/>
      <c r="I1455" s="2"/>
      <c r="N1455" s="2"/>
      <c r="Q1455" s="2"/>
      <c r="R1455" s="2"/>
      <c r="S1455" s="2"/>
      <c r="T1455" s="2"/>
      <c r="X1455" s="2"/>
      <c r="AA1455" s="2"/>
      <c r="AB1455" s="2"/>
      <c r="AC1455" s="2"/>
      <c r="AD1455" s="2"/>
      <c r="AM1455" s="2"/>
      <c r="AO1455" s="2"/>
    </row>
    <row r="1456" spans="2:41" ht="13" x14ac:dyDescent="0.15">
      <c r="B1456" s="2"/>
      <c r="D1456" s="2"/>
      <c r="H1456" s="2"/>
      <c r="I1456" s="2"/>
      <c r="N1456" s="2"/>
      <c r="Q1456" s="2"/>
      <c r="R1456" s="2"/>
      <c r="S1456" s="2"/>
      <c r="T1456" s="2"/>
      <c r="X1456" s="2"/>
      <c r="AA1456" s="2"/>
      <c r="AB1456" s="2"/>
      <c r="AC1456" s="2"/>
      <c r="AD1456" s="2"/>
      <c r="AM1456" s="2"/>
      <c r="AO1456" s="2"/>
    </row>
    <row r="1457" spans="2:41" ht="13" x14ac:dyDescent="0.15">
      <c r="B1457" s="2"/>
      <c r="D1457" s="2"/>
      <c r="F1457" s="2"/>
      <c r="G1457" s="2"/>
      <c r="H1457" s="2"/>
      <c r="I1457" s="2"/>
      <c r="M1457" s="2"/>
      <c r="N1457" s="2"/>
      <c r="P1457" s="2"/>
      <c r="Q1457" s="2"/>
      <c r="S1457" s="2"/>
      <c r="W1457" s="2"/>
      <c r="X1457" s="2"/>
      <c r="AO1457" s="2"/>
    </row>
    <row r="1458" spans="2:41" ht="13" x14ac:dyDescent="0.15">
      <c r="B1458" s="2"/>
      <c r="D1458" s="2"/>
      <c r="N1458" s="2"/>
      <c r="AO1458" s="2"/>
    </row>
    <row r="1459" spans="2:41" ht="13" x14ac:dyDescent="0.15">
      <c r="B1459" s="2"/>
      <c r="C1459" s="2"/>
      <c r="D1459" s="2"/>
      <c r="F1459" s="2"/>
      <c r="G1459" s="2"/>
      <c r="H1459" s="2"/>
      <c r="I1459" s="2"/>
      <c r="M1459" s="2"/>
      <c r="N1459" s="2"/>
      <c r="P1459" s="2"/>
      <c r="Q1459" s="2"/>
      <c r="R1459" s="2"/>
      <c r="S1459" s="2"/>
      <c r="W1459" s="2"/>
      <c r="X1459" s="2"/>
      <c r="Z1459" s="2"/>
      <c r="AA1459" s="2"/>
      <c r="AB1459" s="2"/>
      <c r="AC1459" s="2"/>
      <c r="AG1459" s="2"/>
      <c r="AH1459" s="2"/>
      <c r="AO1459" s="2"/>
    </row>
    <row r="1460" spans="2:41" ht="13" x14ac:dyDescent="0.15">
      <c r="B1460" s="2"/>
      <c r="D1460" s="2"/>
      <c r="N1460" s="2"/>
      <c r="X1460" s="2"/>
      <c r="AO1460" s="2"/>
    </row>
    <row r="1461" spans="2:41" ht="13" x14ac:dyDescent="0.15">
      <c r="B1461" s="2"/>
      <c r="AO1461" s="2"/>
    </row>
    <row r="1462" spans="2:41" ht="13" x14ac:dyDescent="0.15">
      <c r="B1462" s="2"/>
      <c r="D1462" s="2"/>
      <c r="F1462" s="2"/>
      <c r="G1462" s="2"/>
      <c r="H1462" s="2"/>
      <c r="I1462" s="2"/>
      <c r="M1462" s="2"/>
      <c r="N1462" s="2"/>
      <c r="P1462" s="2"/>
      <c r="Q1462" s="2"/>
      <c r="R1462" s="2"/>
      <c r="S1462" s="2"/>
      <c r="W1462" s="2"/>
      <c r="X1462" s="2"/>
      <c r="Z1462" s="2"/>
      <c r="AA1462" s="2"/>
      <c r="AB1462" s="2"/>
      <c r="AC1462" s="2"/>
      <c r="AG1462" s="2"/>
      <c r="AH1462" s="2"/>
      <c r="AO1462" s="2"/>
    </row>
    <row r="1463" spans="2:41" ht="13" x14ac:dyDescent="0.15">
      <c r="B1463" s="2"/>
      <c r="AO1463" s="2"/>
    </row>
    <row r="1464" spans="2:41" ht="13" x14ac:dyDescent="0.15">
      <c r="B1464" s="2"/>
      <c r="D1464" s="2"/>
      <c r="G1464" s="2"/>
      <c r="H1464" s="2"/>
      <c r="I1464" s="2"/>
      <c r="N1464" s="2"/>
      <c r="Q1464" s="2"/>
      <c r="R1464" s="2"/>
      <c r="S1464" s="2"/>
      <c r="T1464" s="2"/>
      <c r="X1464" s="2"/>
      <c r="AA1464" s="2"/>
      <c r="AB1464" s="2"/>
      <c r="AC1464" s="2"/>
      <c r="AD1464" s="2"/>
      <c r="AM1464" s="2"/>
      <c r="AO1464" s="2"/>
    </row>
    <row r="1465" spans="2:41" ht="13" x14ac:dyDescent="0.15">
      <c r="B1465" s="2"/>
      <c r="I1465" s="2"/>
      <c r="Q1465" s="2"/>
      <c r="S1465" s="2"/>
      <c r="T1465" s="2"/>
      <c r="X1465" s="2"/>
      <c r="AA1465" s="2"/>
      <c r="AC1465" s="2"/>
      <c r="AD1465" s="2"/>
      <c r="AM1465" s="2"/>
      <c r="AO1465" s="2"/>
    </row>
    <row r="1466" spans="2:41" ht="13" x14ac:dyDescent="0.15">
      <c r="B1466" s="2"/>
      <c r="C1466" s="2"/>
      <c r="D1466" s="2"/>
      <c r="F1466" s="2"/>
      <c r="G1466" s="2"/>
      <c r="H1466" s="2"/>
      <c r="I1466" s="2"/>
      <c r="M1466" s="2"/>
      <c r="N1466" s="2"/>
      <c r="P1466" s="2"/>
      <c r="Q1466" s="2"/>
      <c r="R1466" s="2"/>
      <c r="S1466" s="2"/>
      <c r="T1466" s="2"/>
      <c r="U1466" s="2"/>
      <c r="W1466" s="2"/>
      <c r="X1466" s="2"/>
      <c r="Z1466" s="2"/>
      <c r="AA1466" s="2"/>
      <c r="AB1466" s="2"/>
      <c r="AC1466" s="2"/>
      <c r="AD1466" s="2"/>
      <c r="AG1466" s="2"/>
      <c r="AH1466" s="2"/>
      <c r="AK1466" s="2"/>
      <c r="AM1466" s="2"/>
      <c r="AO1466" s="2"/>
    </row>
    <row r="1467" spans="2:41" ht="13" x14ac:dyDescent="0.15">
      <c r="B1467" s="2"/>
      <c r="C1467" s="2"/>
      <c r="D1467" s="2"/>
      <c r="F1467" s="2"/>
      <c r="G1467" s="2"/>
      <c r="H1467" s="2"/>
      <c r="I1467" s="2"/>
      <c r="M1467" s="2"/>
      <c r="N1467" s="2"/>
      <c r="P1467" s="2"/>
      <c r="Q1467" s="2"/>
      <c r="R1467" s="2"/>
      <c r="S1467" s="2"/>
      <c r="T1467" s="2"/>
      <c r="W1467" s="2"/>
      <c r="X1467" s="2"/>
      <c r="Z1467" s="2"/>
      <c r="AA1467" s="2"/>
      <c r="AB1467" s="2"/>
      <c r="AC1467" s="2"/>
      <c r="AD1467" s="2"/>
      <c r="AG1467" s="2"/>
      <c r="AH1467" s="2"/>
      <c r="AO1467" s="2"/>
    </row>
    <row r="1468" spans="2:41" ht="13" x14ac:dyDescent="0.15">
      <c r="B1468" s="2"/>
      <c r="D1468" s="2"/>
      <c r="H1468" s="2"/>
      <c r="I1468" s="2"/>
      <c r="N1468" s="2"/>
      <c r="Q1468" s="2"/>
      <c r="S1468" s="2"/>
      <c r="X1468" s="2"/>
      <c r="AA1468" s="2"/>
      <c r="AC1468" s="2"/>
      <c r="AO1468" s="2"/>
    </row>
    <row r="1469" spans="2:41" ht="13" x14ac:dyDescent="0.15">
      <c r="B1469" s="2"/>
      <c r="C1469" s="2"/>
      <c r="D1469" s="2"/>
      <c r="F1469" s="2"/>
      <c r="G1469" s="2"/>
      <c r="H1469" s="2"/>
      <c r="I1469" s="2"/>
      <c r="M1469" s="2"/>
      <c r="N1469" s="2"/>
      <c r="P1469" s="2"/>
      <c r="Q1469" s="2"/>
      <c r="R1469" s="2"/>
      <c r="S1469" s="2"/>
      <c r="T1469" s="2"/>
      <c r="W1469" s="2"/>
      <c r="X1469" s="2"/>
      <c r="Z1469" s="2"/>
      <c r="AA1469" s="2"/>
      <c r="AB1469" s="2"/>
      <c r="AC1469" s="2"/>
      <c r="AD1469" s="2"/>
      <c r="AG1469" s="2"/>
      <c r="AH1469" s="2"/>
      <c r="AK1469" s="2"/>
      <c r="AM1469" s="2"/>
      <c r="AO1469" s="2"/>
    </row>
    <row r="1470" spans="2:41" ht="13" x14ac:dyDescent="0.15">
      <c r="B1470" s="2"/>
      <c r="D1470" s="2"/>
      <c r="F1470" s="2"/>
      <c r="G1470" s="2"/>
      <c r="H1470" s="2"/>
      <c r="I1470" s="2"/>
      <c r="N1470" s="2"/>
      <c r="P1470" s="2"/>
      <c r="Q1470" s="2"/>
      <c r="R1470" s="2"/>
      <c r="S1470" s="2"/>
      <c r="T1470" s="2"/>
      <c r="X1470" s="2"/>
      <c r="Z1470" s="2"/>
      <c r="AA1470" s="2"/>
      <c r="AB1470" s="2"/>
      <c r="AC1470" s="2"/>
      <c r="AD1470" s="2"/>
      <c r="AH1470" s="2"/>
      <c r="AM1470" s="2"/>
      <c r="AO1470" s="2"/>
    </row>
    <row r="1471" spans="2:41" ht="13" x14ac:dyDescent="0.15">
      <c r="B1471" s="2"/>
      <c r="C1471" s="2"/>
      <c r="D1471" s="2"/>
      <c r="F1471" s="2"/>
      <c r="G1471" s="2"/>
      <c r="H1471" s="2"/>
      <c r="I1471" s="2"/>
      <c r="M1471" s="2"/>
      <c r="N1471" s="2"/>
      <c r="P1471" s="2"/>
      <c r="Q1471" s="2"/>
      <c r="R1471" s="2"/>
      <c r="S1471" s="2"/>
      <c r="W1471" s="2"/>
      <c r="X1471" s="2"/>
      <c r="Z1471" s="2"/>
      <c r="AA1471" s="2"/>
      <c r="AB1471" s="2"/>
      <c r="AC1471" s="2"/>
      <c r="AG1471" s="2"/>
      <c r="AH1471" s="2"/>
      <c r="AO1471" s="2"/>
    </row>
    <row r="1472" spans="2:41" ht="13" x14ac:dyDescent="0.15">
      <c r="B1472" s="2"/>
      <c r="AO1472" s="2"/>
    </row>
    <row r="1473" spans="2:41" ht="13" x14ac:dyDescent="0.15">
      <c r="B1473" s="2"/>
      <c r="D1473" s="2"/>
      <c r="N1473" s="2"/>
      <c r="X1473" s="2"/>
      <c r="AO1473" s="2"/>
    </row>
    <row r="1474" spans="2:41" ht="13" x14ac:dyDescent="0.15">
      <c r="B1474" s="2"/>
      <c r="D1474" s="2"/>
      <c r="F1474" s="2"/>
      <c r="G1474" s="2"/>
      <c r="H1474" s="2"/>
      <c r="I1474" s="2"/>
      <c r="N1474" s="2"/>
      <c r="P1474" s="2"/>
      <c r="Q1474" s="2"/>
      <c r="R1474" s="2"/>
      <c r="S1474" s="2"/>
      <c r="T1474" s="2"/>
      <c r="W1474" s="2"/>
      <c r="X1474" s="2"/>
      <c r="Z1474" s="2"/>
      <c r="AA1474" s="2"/>
      <c r="AB1474" s="2"/>
      <c r="AC1474" s="2"/>
      <c r="AD1474" s="2"/>
      <c r="AH1474" s="2"/>
      <c r="AK1474" s="2"/>
      <c r="AM1474" s="2"/>
      <c r="AN1474" s="2"/>
      <c r="AO1474" s="2"/>
    </row>
    <row r="1475" spans="2:41" ht="13" x14ac:dyDescent="0.15">
      <c r="B1475" s="2"/>
      <c r="D1475" s="2"/>
      <c r="F1475" s="2"/>
      <c r="G1475" s="2"/>
      <c r="H1475" s="2"/>
      <c r="I1475" s="2"/>
      <c r="N1475" s="2"/>
      <c r="P1475" s="2"/>
      <c r="Q1475" s="2"/>
      <c r="R1475" s="2"/>
      <c r="S1475" s="2"/>
      <c r="T1475" s="2"/>
      <c r="X1475" s="2"/>
      <c r="AA1475" s="2"/>
      <c r="AB1475" s="2"/>
      <c r="AC1475" s="2"/>
      <c r="AD1475" s="2"/>
      <c r="AH1475" s="2"/>
      <c r="AO1475" s="2"/>
    </row>
    <row r="1476" spans="2:41" ht="13" x14ac:dyDescent="0.15">
      <c r="B1476" s="2"/>
      <c r="C1476" s="2"/>
      <c r="D1476" s="2"/>
      <c r="F1476" s="2"/>
      <c r="G1476" s="2"/>
      <c r="H1476" s="2"/>
      <c r="I1476" s="2"/>
      <c r="M1476" s="2"/>
      <c r="N1476" s="2"/>
      <c r="P1476" s="2"/>
      <c r="Q1476" s="2"/>
      <c r="R1476" s="2"/>
      <c r="S1476" s="2"/>
      <c r="W1476" s="2"/>
      <c r="X1476" s="2"/>
      <c r="Z1476" s="2"/>
      <c r="AA1476" s="2"/>
      <c r="AB1476" s="2"/>
      <c r="AC1476" s="2"/>
      <c r="AG1476" s="2"/>
      <c r="AH1476" s="2"/>
      <c r="AO1476" s="2"/>
    </row>
    <row r="1477" spans="2:41" ht="13" x14ac:dyDescent="0.15">
      <c r="B1477" s="2"/>
      <c r="C1477" s="2"/>
      <c r="D1477" s="2"/>
      <c r="F1477" s="2"/>
      <c r="G1477" s="2"/>
      <c r="H1477" s="2"/>
      <c r="I1477" s="2"/>
      <c r="M1477" s="2"/>
      <c r="N1477" s="2"/>
      <c r="P1477" s="2"/>
      <c r="Q1477" s="2"/>
      <c r="R1477" s="2"/>
      <c r="S1477" s="2"/>
      <c r="W1477" s="2"/>
      <c r="X1477" s="2"/>
      <c r="Z1477" s="2"/>
      <c r="AA1477" s="2"/>
      <c r="AB1477" s="2"/>
      <c r="AC1477" s="2"/>
      <c r="AG1477" s="2"/>
      <c r="AH1477" s="2"/>
      <c r="AO1477" s="2"/>
    </row>
    <row r="1478" spans="2:41" ht="13" x14ac:dyDescent="0.15">
      <c r="B1478" s="2"/>
      <c r="C1478" s="2"/>
      <c r="D1478" s="2"/>
      <c r="G1478" s="2"/>
      <c r="H1478" s="2"/>
      <c r="I1478" s="2"/>
      <c r="M1478" s="2"/>
      <c r="N1478" s="2"/>
      <c r="Q1478" s="2"/>
      <c r="S1478" s="2"/>
      <c r="W1478" s="2"/>
      <c r="X1478" s="2"/>
      <c r="AA1478" s="2"/>
      <c r="AC1478" s="2"/>
      <c r="AG1478" s="2"/>
      <c r="AH1478" s="2"/>
      <c r="AO1478" s="2"/>
    </row>
    <row r="1479" spans="2:41" ht="13" x14ac:dyDescent="0.15">
      <c r="B1479" s="2"/>
      <c r="D1479" s="2"/>
      <c r="H1479" s="2"/>
      <c r="I1479" s="2"/>
      <c r="M1479" s="2"/>
      <c r="N1479" s="2"/>
      <c r="S1479" s="2"/>
      <c r="W1479" s="2"/>
      <c r="X1479" s="2"/>
      <c r="AC1479" s="2"/>
      <c r="AO1479" s="2"/>
    </row>
    <row r="1480" spans="2:41" ht="13" x14ac:dyDescent="0.15">
      <c r="B1480" s="2"/>
      <c r="N1480" s="2"/>
      <c r="X1480" s="2"/>
      <c r="AO1480" s="2"/>
    </row>
    <row r="1481" spans="2:41" ht="13" x14ac:dyDescent="0.15">
      <c r="B1481" s="2"/>
      <c r="N1481" s="2"/>
      <c r="AO1481" s="2"/>
    </row>
    <row r="1482" spans="2:41" ht="13" x14ac:dyDescent="0.15">
      <c r="B1482" s="2"/>
      <c r="D1482" s="2"/>
      <c r="N1482" s="2"/>
      <c r="X1482" s="2"/>
      <c r="AO1482" s="2"/>
    </row>
    <row r="1483" spans="2:41" ht="13" x14ac:dyDescent="0.15">
      <c r="B1483" s="2"/>
      <c r="AO1483" s="2"/>
    </row>
    <row r="1484" spans="2:41" ht="13" x14ac:dyDescent="0.15">
      <c r="B1484" s="2"/>
      <c r="AO1484" s="2"/>
    </row>
    <row r="1485" spans="2:41" ht="13" x14ac:dyDescent="0.15">
      <c r="B1485" s="2"/>
      <c r="AO1485" s="2"/>
    </row>
    <row r="1486" spans="2:41" ht="13" x14ac:dyDescent="0.15">
      <c r="B1486" s="2"/>
      <c r="AO1486" s="2"/>
    </row>
    <row r="1487" spans="2:41" ht="13" x14ac:dyDescent="0.15">
      <c r="B1487" s="2"/>
      <c r="AO1487" s="2"/>
    </row>
    <row r="1488" spans="2:41" ht="13" x14ac:dyDescent="0.15">
      <c r="B1488" s="2"/>
      <c r="AO1488" s="2"/>
    </row>
    <row r="1489" spans="2:41" ht="13" x14ac:dyDescent="0.15">
      <c r="B1489" s="2"/>
      <c r="AO1489" s="2"/>
    </row>
    <row r="1490" spans="2:41" ht="13" x14ac:dyDescent="0.15">
      <c r="B1490" s="2"/>
      <c r="AO1490" s="2"/>
    </row>
    <row r="1491" spans="2:41" ht="13" x14ac:dyDescent="0.15">
      <c r="B1491" s="2"/>
      <c r="AO1491" s="2"/>
    </row>
    <row r="1492" spans="2:41" ht="13" x14ac:dyDescent="0.15">
      <c r="B1492" s="2"/>
      <c r="AO1492" s="2"/>
    </row>
    <row r="1493" spans="2:41" ht="13" x14ac:dyDescent="0.15">
      <c r="B1493" s="2"/>
      <c r="AO1493" s="2"/>
    </row>
    <row r="1494" spans="2:41" ht="13" x14ac:dyDescent="0.15">
      <c r="B1494" s="2"/>
      <c r="AO1494" s="2"/>
    </row>
    <row r="1495" spans="2:41" ht="13" x14ac:dyDescent="0.15">
      <c r="B1495" s="2"/>
      <c r="AO1495" s="2"/>
    </row>
    <row r="1496" spans="2:41" ht="13" x14ac:dyDescent="0.15">
      <c r="B1496" s="2"/>
      <c r="AO1496" s="2"/>
    </row>
    <row r="1497" spans="2:41" ht="13" x14ac:dyDescent="0.15">
      <c r="B1497" s="2"/>
      <c r="AO1497" s="2"/>
    </row>
    <row r="1498" spans="2:41" ht="13" x14ac:dyDescent="0.15">
      <c r="B1498" s="2"/>
      <c r="C1498" s="2"/>
      <c r="D1498" s="2"/>
      <c r="F1498" s="2"/>
      <c r="G1498" s="2"/>
      <c r="H1498" s="2"/>
      <c r="I1498" s="2"/>
      <c r="M1498" s="2"/>
      <c r="N1498" s="2"/>
      <c r="P1498" s="2"/>
      <c r="Q1498" s="2"/>
      <c r="R1498" s="2"/>
      <c r="S1498" s="2"/>
      <c r="W1498" s="2"/>
      <c r="X1498" s="2"/>
      <c r="Z1498" s="2"/>
      <c r="AA1498" s="2"/>
      <c r="AC1498" s="2"/>
      <c r="AG1498" s="2"/>
      <c r="AH1498" s="2"/>
      <c r="AO1498" s="2"/>
    </row>
    <row r="1499" spans="2:41" ht="13" x14ac:dyDescent="0.15">
      <c r="B1499" s="2"/>
      <c r="D1499" s="2"/>
      <c r="N1499" s="2"/>
      <c r="Q1499" s="2"/>
      <c r="S1499" s="2"/>
      <c r="W1499" s="2"/>
      <c r="X1499" s="2"/>
      <c r="AA1499" s="2"/>
      <c r="AC1499" s="2"/>
      <c r="AO1499" s="2"/>
    </row>
    <row r="1500" spans="2:41" ht="13" x14ac:dyDescent="0.15">
      <c r="B1500" s="2"/>
      <c r="AO1500" s="2"/>
    </row>
    <row r="1501" spans="2:41" ht="13" x14ac:dyDescent="0.15">
      <c r="B1501" s="2"/>
      <c r="AO1501" s="2"/>
    </row>
    <row r="1502" spans="2:41" ht="13" x14ac:dyDescent="0.15">
      <c r="B1502" s="2"/>
      <c r="AO1502" s="2"/>
    </row>
    <row r="1503" spans="2:41" ht="13" x14ac:dyDescent="0.15">
      <c r="B1503" s="2"/>
      <c r="D1503" s="2"/>
      <c r="N1503" s="2"/>
      <c r="X1503" s="2"/>
      <c r="AO1503" s="2"/>
    </row>
    <row r="1504" spans="2:41" ht="13" x14ac:dyDescent="0.15">
      <c r="B1504" s="2"/>
      <c r="AO1504" s="2"/>
    </row>
    <row r="1505" spans="2:41" ht="13" x14ac:dyDescent="0.15">
      <c r="B1505" s="2"/>
      <c r="D1505" s="2"/>
      <c r="N1505" s="2"/>
      <c r="Q1505" s="2"/>
      <c r="W1505" s="2"/>
      <c r="X1505" s="2"/>
      <c r="AO1505" s="2"/>
    </row>
    <row r="1506" spans="2:41" ht="13" x14ac:dyDescent="0.15">
      <c r="B1506" s="2"/>
      <c r="AO1506" s="2"/>
    </row>
    <row r="1507" spans="2:41" ht="13" x14ac:dyDescent="0.15">
      <c r="B1507" s="2"/>
      <c r="D1507" s="2"/>
      <c r="N1507" s="2"/>
      <c r="X1507" s="2"/>
      <c r="AO1507" s="2"/>
    </row>
    <row r="1508" spans="2:41" ht="13" x14ac:dyDescent="0.15">
      <c r="B1508" s="2"/>
      <c r="D1508" s="2"/>
      <c r="N1508" s="2"/>
      <c r="X1508" s="2"/>
      <c r="AO1508" s="2"/>
    </row>
    <row r="1509" spans="2:41" ht="13" x14ac:dyDescent="0.15">
      <c r="B1509" s="2"/>
      <c r="AO1509" s="2"/>
    </row>
    <row r="1510" spans="2:41" ht="13" x14ac:dyDescent="0.15">
      <c r="B1510" s="2"/>
      <c r="D1510" s="2"/>
      <c r="N1510" s="2"/>
      <c r="AO1510" s="2"/>
    </row>
    <row r="1511" spans="2:41" ht="13" x14ac:dyDescent="0.15">
      <c r="B1511" s="2"/>
      <c r="AO1511" s="2"/>
    </row>
    <row r="1512" spans="2:41" ht="13" x14ac:dyDescent="0.15">
      <c r="B1512" s="2"/>
      <c r="N1512" s="2"/>
      <c r="AO1512" s="2"/>
    </row>
    <row r="1513" spans="2:41" ht="13" x14ac:dyDescent="0.15">
      <c r="B1513" s="2"/>
      <c r="AO1513" s="2"/>
    </row>
    <row r="1514" spans="2:41" ht="13" x14ac:dyDescent="0.15">
      <c r="B1514" s="2"/>
      <c r="AO1514" s="2"/>
    </row>
    <row r="1515" spans="2:41" ht="13" x14ac:dyDescent="0.15">
      <c r="B1515" s="2"/>
      <c r="C1515" s="2"/>
      <c r="D1515" s="2"/>
      <c r="F1515" s="2"/>
      <c r="G1515" s="2"/>
      <c r="H1515" s="2"/>
      <c r="I1515" s="2"/>
      <c r="M1515" s="2"/>
      <c r="N1515" s="2"/>
      <c r="P1515" s="2"/>
      <c r="Q1515" s="2"/>
      <c r="S1515" s="2"/>
      <c r="W1515" s="2"/>
      <c r="X1515" s="2"/>
      <c r="AA1515" s="2"/>
      <c r="AC1515" s="2"/>
      <c r="AG1515" s="2"/>
      <c r="AH1515" s="2"/>
      <c r="AO1515" s="2"/>
    </row>
    <row r="1516" spans="2:41" ht="13" x14ac:dyDescent="0.15">
      <c r="B1516" s="2"/>
      <c r="D1516" s="2"/>
      <c r="G1516" s="2"/>
      <c r="H1516" s="2"/>
      <c r="I1516" s="2"/>
      <c r="M1516" s="2"/>
      <c r="N1516" s="2"/>
      <c r="Q1516" s="2"/>
      <c r="S1516" s="2"/>
      <c r="W1516" s="2"/>
      <c r="X1516" s="2"/>
      <c r="AA1516" s="2"/>
      <c r="AC1516" s="2"/>
      <c r="AG1516" s="2"/>
      <c r="AO1516" s="2"/>
    </row>
    <row r="1517" spans="2:41" ht="13" x14ac:dyDescent="0.15">
      <c r="B1517" s="2"/>
      <c r="AO1517" s="2"/>
    </row>
    <row r="1518" spans="2:41" ht="13" x14ac:dyDescent="0.15">
      <c r="B1518" s="2"/>
      <c r="AO1518" s="2"/>
    </row>
    <row r="1519" spans="2:41" ht="13" x14ac:dyDescent="0.15">
      <c r="B1519" s="2"/>
      <c r="D1519" s="2"/>
      <c r="N1519" s="2"/>
      <c r="X1519" s="2"/>
      <c r="AO1519" s="2"/>
    </row>
    <row r="1520" spans="2:41" ht="13" x14ac:dyDescent="0.15">
      <c r="B1520" s="2"/>
      <c r="D1520" s="2"/>
      <c r="M1520" s="2"/>
      <c r="N1520" s="2"/>
      <c r="W1520" s="2"/>
      <c r="X1520" s="2"/>
      <c r="AO1520" s="2"/>
    </row>
    <row r="1521" spans="2:41" ht="13" x14ac:dyDescent="0.15">
      <c r="B1521" s="2"/>
      <c r="AO1521" s="2"/>
    </row>
    <row r="1522" spans="2:41" ht="13" x14ac:dyDescent="0.15">
      <c r="B1522" s="2"/>
      <c r="AO1522" s="2"/>
    </row>
    <row r="1523" spans="2:41" ht="13" x14ac:dyDescent="0.15">
      <c r="B1523" s="2"/>
      <c r="AO1523" s="2"/>
    </row>
    <row r="1524" spans="2:41" ht="13" x14ac:dyDescent="0.15">
      <c r="B1524" s="2"/>
      <c r="AO1524" s="2"/>
    </row>
    <row r="1525" spans="2:41" ht="13" x14ac:dyDescent="0.15">
      <c r="B1525" s="2"/>
      <c r="AO1525" s="2"/>
    </row>
    <row r="1526" spans="2:41" ht="13" x14ac:dyDescent="0.15">
      <c r="B1526" s="2"/>
      <c r="AO1526" s="2"/>
    </row>
    <row r="1527" spans="2:41" ht="13" x14ac:dyDescent="0.15">
      <c r="B1527" s="2"/>
      <c r="AO1527" s="2"/>
    </row>
    <row r="1528" spans="2:41" ht="13" x14ac:dyDescent="0.15">
      <c r="B1528" s="2"/>
      <c r="D1528" s="2"/>
      <c r="M1528" s="2"/>
      <c r="N1528" s="2"/>
      <c r="Q1528" s="2"/>
      <c r="W1528" s="2"/>
      <c r="X1528" s="2"/>
      <c r="AG1528" s="2"/>
      <c r="AO1528" s="2"/>
    </row>
    <row r="1529" spans="2:41" ht="13" x14ac:dyDescent="0.15">
      <c r="B1529" s="2"/>
      <c r="AO1529" s="2"/>
    </row>
    <row r="1530" spans="2:41" ht="13" x14ac:dyDescent="0.15">
      <c r="B1530" s="2"/>
      <c r="AO1530" s="2"/>
    </row>
    <row r="1531" spans="2:41" ht="13" x14ac:dyDescent="0.15">
      <c r="B1531" s="2"/>
      <c r="AO1531" s="2"/>
    </row>
    <row r="1532" spans="2:41" ht="13" x14ac:dyDescent="0.15">
      <c r="B1532" s="2"/>
      <c r="AO1532" s="2"/>
    </row>
    <row r="1533" spans="2:41" ht="13" x14ac:dyDescent="0.15">
      <c r="B1533" s="2"/>
      <c r="AO1533" s="2"/>
    </row>
    <row r="1534" spans="2:41" ht="13" x14ac:dyDescent="0.15">
      <c r="B1534" s="2"/>
      <c r="AO1534" s="2"/>
    </row>
    <row r="1535" spans="2:41" ht="13" x14ac:dyDescent="0.15">
      <c r="B1535" s="2"/>
      <c r="AO1535" s="2"/>
    </row>
    <row r="1536" spans="2:41" ht="13" x14ac:dyDescent="0.15">
      <c r="B1536" s="2"/>
      <c r="AO1536" s="2"/>
    </row>
    <row r="1537" spans="2:41" ht="13" x14ac:dyDescent="0.15">
      <c r="B1537" s="2"/>
      <c r="AO1537" s="2"/>
    </row>
    <row r="1538" spans="2:41" ht="13" x14ac:dyDescent="0.15">
      <c r="B1538" s="2"/>
      <c r="AO1538" s="2"/>
    </row>
    <row r="1539" spans="2:41" ht="13" x14ac:dyDescent="0.15">
      <c r="B1539" s="2"/>
      <c r="AO1539" s="2"/>
    </row>
    <row r="1540" spans="2:41" ht="13" x14ac:dyDescent="0.15">
      <c r="B1540" s="2"/>
      <c r="AO1540" s="2"/>
    </row>
    <row r="1541" spans="2:41" ht="13" x14ac:dyDescent="0.15">
      <c r="B1541" s="2"/>
      <c r="AO1541" s="2"/>
    </row>
    <row r="1542" spans="2:41" ht="13" x14ac:dyDescent="0.15">
      <c r="B1542" s="2"/>
      <c r="AO1542" s="2"/>
    </row>
    <row r="1543" spans="2:41" ht="13" x14ac:dyDescent="0.15">
      <c r="B1543" s="2"/>
      <c r="AO1543" s="2"/>
    </row>
    <row r="1544" spans="2:41" ht="13" x14ac:dyDescent="0.15">
      <c r="B1544" s="2"/>
      <c r="AO1544" s="2"/>
    </row>
    <row r="1545" spans="2:41" ht="13" x14ac:dyDescent="0.15">
      <c r="B1545" s="2"/>
      <c r="AO1545" s="2"/>
    </row>
    <row r="1546" spans="2:41" ht="13" x14ac:dyDescent="0.15">
      <c r="B1546" s="2"/>
      <c r="AO1546" s="2"/>
    </row>
    <row r="1547" spans="2:41" ht="13" x14ac:dyDescent="0.15">
      <c r="B1547" s="2"/>
      <c r="AO1547" s="2"/>
    </row>
    <row r="1548" spans="2:41" ht="13" x14ac:dyDescent="0.15">
      <c r="B1548" s="2"/>
      <c r="AO1548" s="2"/>
    </row>
    <row r="1549" spans="2:41" ht="13" x14ac:dyDescent="0.15">
      <c r="B1549" s="2"/>
      <c r="AO1549" s="2"/>
    </row>
    <row r="1550" spans="2:41" ht="13" x14ac:dyDescent="0.15">
      <c r="B1550" s="2"/>
      <c r="AO1550" s="2"/>
    </row>
    <row r="1551" spans="2:41" ht="13" x14ac:dyDescent="0.15">
      <c r="B1551" s="2"/>
      <c r="AO1551" s="2"/>
    </row>
    <row r="1552" spans="2:41" ht="13" x14ac:dyDescent="0.15">
      <c r="B1552" s="2"/>
      <c r="AO1552" s="2"/>
    </row>
    <row r="1553" spans="2:41" ht="13" x14ac:dyDescent="0.15">
      <c r="B1553" s="2"/>
      <c r="AO1553" s="2"/>
    </row>
    <row r="1554" spans="2:41" ht="13" x14ac:dyDescent="0.15">
      <c r="B1554" s="2"/>
      <c r="AO1554" s="2"/>
    </row>
    <row r="1555" spans="2:41" ht="13" x14ac:dyDescent="0.15">
      <c r="B1555" s="2"/>
      <c r="AO1555" s="2"/>
    </row>
    <row r="1556" spans="2:41" ht="13" x14ac:dyDescent="0.15">
      <c r="B1556" s="2"/>
      <c r="N1556" s="2"/>
      <c r="AO1556" s="2"/>
    </row>
    <row r="1557" spans="2:41" ht="13" x14ac:dyDescent="0.15">
      <c r="B1557" s="2"/>
      <c r="AO1557" s="2"/>
    </row>
    <row r="1558" spans="2:41" ht="13" x14ac:dyDescent="0.15">
      <c r="B1558" s="2"/>
      <c r="AO1558" s="2"/>
    </row>
    <row r="1559" spans="2:41" ht="13" x14ac:dyDescent="0.15">
      <c r="B1559" s="2"/>
      <c r="AO1559" s="2"/>
    </row>
    <row r="1560" spans="2:41" ht="13" x14ac:dyDescent="0.15">
      <c r="B1560" s="2"/>
      <c r="AO1560" s="2"/>
    </row>
    <row r="1561" spans="2:41" ht="13" x14ac:dyDescent="0.15">
      <c r="B1561" s="2"/>
      <c r="C1561" s="2"/>
      <c r="D1561" s="2"/>
      <c r="F1561" s="2"/>
      <c r="G1561" s="2"/>
      <c r="H1561" s="2"/>
      <c r="I1561" s="2"/>
      <c r="M1561" s="2"/>
      <c r="N1561" s="2"/>
      <c r="P1561" s="2"/>
      <c r="Q1561" s="2"/>
      <c r="R1561" s="2"/>
      <c r="S1561" s="2"/>
      <c r="T1561" s="2"/>
      <c r="W1561" s="2"/>
      <c r="X1561" s="2"/>
      <c r="AA1561" s="2"/>
      <c r="AB1561" s="2"/>
      <c r="AC1561" s="2"/>
      <c r="AD1561" s="2"/>
      <c r="AG1561" s="2"/>
      <c r="AH1561" s="2"/>
      <c r="AO1561" s="2"/>
    </row>
    <row r="1562" spans="2:41" ht="13" x14ac:dyDescent="0.15">
      <c r="B1562" s="2"/>
      <c r="D1562" s="2"/>
      <c r="H1562" s="2"/>
      <c r="I1562" s="2"/>
      <c r="N1562" s="2"/>
      <c r="S1562" s="2"/>
      <c r="X1562" s="2"/>
      <c r="AC1562" s="2"/>
      <c r="AO1562" s="2"/>
    </row>
    <row r="1563" spans="2:41" ht="13" x14ac:dyDescent="0.15">
      <c r="B1563" s="2"/>
      <c r="AO1563" s="2"/>
    </row>
    <row r="1564" spans="2:41" ht="13" x14ac:dyDescent="0.15">
      <c r="B1564" s="2"/>
      <c r="AO1564" s="2"/>
    </row>
    <row r="1565" spans="2:41" ht="13" x14ac:dyDescent="0.15">
      <c r="B1565" s="2"/>
      <c r="AO1565" s="2"/>
    </row>
    <row r="1566" spans="2:41" ht="13" x14ac:dyDescent="0.15">
      <c r="B1566" s="2"/>
      <c r="D1566" s="2"/>
      <c r="N1566" s="2"/>
      <c r="S1566" s="2"/>
      <c r="X1566" s="2"/>
      <c r="AO1566" s="2"/>
    </row>
    <row r="1567" spans="2:41" ht="13" x14ac:dyDescent="0.15">
      <c r="B1567" s="2"/>
      <c r="D1567" s="2"/>
      <c r="N1567" s="2"/>
      <c r="W1567" s="2"/>
      <c r="X1567" s="2"/>
      <c r="AO1567" s="2"/>
    </row>
    <row r="1568" spans="2:41" ht="13" x14ac:dyDescent="0.15">
      <c r="B1568" s="2"/>
      <c r="AO1568" s="2"/>
    </row>
    <row r="1569" spans="2:41" ht="13" x14ac:dyDescent="0.15">
      <c r="B1569" s="2"/>
      <c r="AO1569" s="2"/>
    </row>
    <row r="1570" spans="2:41" ht="13" x14ac:dyDescent="0.15">
      <c r="B1570" s="2"/>
      <c r="AO1570" s="2"/>
    </row>
    <row r="1571" spans="2:41" ht="13" x14ac:dyDescent="0.15">
      <c r="B1571" s="2"/>
      <c r="D1571" s="2"/>
      <c r="N1571" s="2"/>
      <c r="S1571" s="2"/>
      <c r="X1571" s="2"/>
      <c r="AO1571" s="2"/>
    </row>
    <row r="1572" spans="2:41" ht="13" x14ac:dyDescent="0.15">
      <c r="B1572" s="2"/>
      <c r="D1572" s="2"/>
      <c r="N1572" s="2"/>
      <c r="W1572" s="2"/>
      <c r="X1572" s="2"/>
      <c r="AO1572" s="2"/>
    </row>
    <row r="1573" spans="2:41" ht="13" x14ac:dyDescent="0.15">
      <c r="B1573" s="2"/>
      <c r="D1573" s="2"/>
      <c r="N1573" s="2"/>
      <c r="X1573" s="2"/>
      <c r="AO1573" s="2"/>
    </row>
    <row r="1574" spans="2:41" ht="13" x14ac:dyDescent="0.15">
      <c r="B1574" s="2"/>
      <c r="D1574" s="2"/>
      <c r="N1574" s="2"/>
      <c r="X1574" s="2"/>
      <c r="AO1574" s="2"/>
    </row>
    <row r="1575" spans="2:41" ht="13" x14ac:dyDescent="0.15">
      <c r="B1575" s="2"/>
      <c r="N1575" s="2"/>
      <c r="AO1575" s="2"/>
    </row>
    <row r="1576" spans="2:41" ht="13" x14ac:dyDescent="0.15">
      <c r="B1576" s="2"/>
      <c r="AO1576" s="2"/>
    </row>
    <row r="1577" spans="2:41" ht="13" x14ac:dyDescent="0.15">
      <c r="B1577" s="2"/>
      <c r="AO1577" s="2"/>
    </row>
    <row r="1578" spans="2:41" ht="13" x14ac:dyDescent="0.15">
      <c r="B1578" s="2"/>
      <c r="AO1578" s="2"/>
    </row>
    <row r="1579" spans="2:41" ht="13" x14ac:dyDescent="0.15">
      <c r="B1579" s="2"/>
      <c r="AO1579" s="2"/>
    </row>
    <row r="1580" spans="2:41" ht="13" x14ac:dyDescent="0.15">
      <c r="B1580" s="2"/>
      <c r="AO1580" s="2"/>
    </row>
    <row r="1581" spans="2:41" ht="13" x14ac:dyDescent="0.15">
      <c r="B1581" s="2"/>
      <c r="D1581" s="2"/>
      <c r="N1581" s="2"/>
      <c r="W1581" s="2"/>
      <c r="X1581" s="2"/>
      <c r="AO1581" s="2"/>
    </row>
    <row r="1582" spans="2:41" ht="13" x14ac:dyDescent="0.15">
      <c r="B1582" s="2"/>
      <c r="AO1582" s="2"/>
    </row>
    <row r="1583" spans="2:41" ht="13" x14ac:dyDescent="0.15">
      <c r="B1583" s="2"/>
      <c r="AO1583" s="2"/>
    </row>
    <row r="1584" spans="2:41" ht="13" x14ac:dyDescent="0.15">
      <c r="B1584" s="2"/>
      <c r="AO1584" s="2"/>
    </row>
    <row r="1585" spans="2:41" ht="13" x14ac:dyDescent="0.15">
      <c r="B1585" s="2"/>
      <c r="AO1585" s="2"/>
    </row>
    <row r="1586" spans="2:41" ht="13" x14ac:dyDescent="0.15">
      <c r="B1586" s="2"/>
      <c r="AO1586" s="2"/>
    </row>
    <row r="1587" spans="2:41" ht="13" x14ac:dyDescent="0.15">
      <c r="B1587" s="2"/>
      <c r="AO1587" s="2"/>
    </row>
    <row r="1588" spans="2:41" ht="13" x14ac:dyDescent="0.15">
      <c r="B1588" s="2"/>
      <c r="AO1588" s="2"/>
    </row>
    <row r="1589" spans="2:41" ht="13" x14ac:dyDescent="0.15">
      <c r="B1589" s="2"/>
      <c r="AO1589" s="2"/>
    </row>
    <row r="1590" spans="2:41" ht="13" x14ac:dyDescent="0.15">
      <c r="B1590" s="2"/>
      <c r="AO1590" s="2"/>
    </row>
    <row r="1591" spans="2:41" ht="13" x14ac:dyDescent="0.15">
      <c r="B1591" s="2"/>
      <c r="AO1591" s="2"/>
    </row>
    <row r="1592" spans="2:41" ht="13" x14ac:dyDescent="0.15">
      <c r="B1592" s="2"/>
      <c r="AO1592" s="2"/>
    </row>
    <row r="1593" spans="2:41" ht="13" x14ac:dyDescent="0.15">
      <c r="B1593" s="2"/>
      <c r="AO1593" s="2"/>
    </row>
    <row r="1594" spans="2:41" ht="13" x14ac:dyDescent="0.15">
      <c r="B1594" s="2"/>
      <c r="AO1594" s="2"/>
    </row>
    <row r="1595" spans="2:41" ht="13" x14ac:dyDescent="0.15">
      <c r="B1595" s="2"/>
      <c r="AO1595" s="2"/>
    </row>
    <row r="1596" spans="2:41" ht="13" x14ac:dyDescent="0.15">
      <c r="B1596" s="2"/>
      <c r="AO1596" s="2"/>
    </row>
    <row r="1597" spans="2:41" ht="13" x14ac:dyDescent="0.15">
      <c r="B1597" s="2"/>
      <c r="AO1597" s="2"/>
    </row>
    <row r="1598" spans="2:41" ht="13" x14ac:dyDescent="0.15">
      <c r="B1598" s="2"/>
      <c r="AO1598" s="2"/>
    </row>
    <row r="1599" spans="2:41" ht="13" x14ac:dyDescent="0.15">
      <c r="B1599" s="2"/>
      <c r="AO1599" s="2"/>
    </row>
    <row r="1600" spans="2:41" ht="13" x14ac:dyDescent="0.15">
      <c r="B1600" s="2"/>
      <c r="AO1600" s="2"/>
    </row>
    <row r="1601" spans="2:41" ht="13" x14ac:dyDescent="0.15">
      <c r="B1601" s="2"/>
      <c r="AO1601" s="2"/>
    </row>
    <row r="1602" spans="2:41" ht="13" x14ac:dyDescent="0.15">
      <c r="B1602" s="2"/>
      <c r="AO1602" s="2"/>
    </row>
    <row r="1603" spans="2:41" ht="13" x14ac:dyDescent="0.15">
      <c r="B1603" s="2"/>
      <c r="AO1603" s="2"/>
    </row>
    <row r="1604" spans="2:41" ht="13" x14ac:dyDescent="0.15">
      <c r="B1604" s="2"/>
      <c r="AO1604" s="2"/>
    </row>
    <row r="1605" spans="2:41" ht="13" x14ac:dyDescent="0.15">
      <c r="B1605" s="2"/>
      <c r="AO1605" s="2"/>
    </row>
    <row r="1606" spans="2:41" ht="13" x14ac:dyDescent="0.15">
      <c r="B1606" s="2"/>
      <c r="AO1606" s="2"/>
    </row>
    <row r="1607" spans="2:41" ht="13" x14ac:dyDescent="0.15">
      <c r="B1607" s="2"/>
      <c r="AO1607" s="2"/>
    </row>
    <row r="1608" spans="2:41" ht="13" x14ac:dyDescent="0.15">
      <c r="B1608" s="2"/>
      <c r="AO1608" s="2"/>
    </row>
    <row r="1609" spans="2:41" ht="13" x14ac:dyDescent="0.15">
      <c r="B1609" s="2"/>
      <c r="AO1609" s="2"/>
    </row>
    <row r="1610" spans="2:41" ht="13" x14ac:dyDescent="0.15">
      <c r="B1610" s="2"/>
      <c r="AO1610" s="2"/>
    </row>
    <row r="1611" spans="2:41" ht="13" x14ac:dyDescent="0.15">
      <c r="B1611" s="2"/>
      <c r="AO1611" s="2"/>
    </row>
    <row r="1612" spans="2:41" ht="13" x14ac:dyDescent="0.15">
      <c r="B1612" s="2"/>
      <c r="AO1612" s="2"/>
    </row>
    <row r="1613" spans="2:41" ht="13" x14ac:dyDescent="0.15">
      <c r="B1613" s="2"/>
      <c r="AO1613" s="2"/>
    </row>
    <row r="1614" spans="2:41" ht="13" x14ac:dyDescent="0.15">
      <c r="B1614" s="2"/>
      <c r="AO1614" s="2"/>
    </row>
    <row r="1615" spans="2:41" ht="13" x14ac:dyDescent="0.15">
      <c r="B1615" s="2"/>
      <c r="C1615" s="2"/>
      <c r="D1615" s="2"/>
      <c r="F1615" s="2"/>
      <c r="G1615" s="2"/>
      <c r="H1615" s="2"/>
      <c r="I1615" s="2"/>
      <c r="M1615" s="2"/>
      <c r="N1615" s="2"/>
      <c r="P1615" s="2"/>
      <c r="Q1615" s="2"/>
      <c r="R1615" s="2"/>
      <c r="S1615" s="2"/>
      <c r="T1615" s="2"/>
      <c r="U1615" s="2"/>
      <c r="W1615" s="2"/>
      <c r="X1615" s="2"/>
      <c r="Z1615" s="2"/>
      <c r="AA1615" s="2"/>
      <c r="AB1615" s="2"/>
      <c r="AC1615" s="2"/>
      <c r="AD1615" s="2"/>
      <c r="AG1615" s="2"/>
      <c r="AH1615" s="2"/>
      <c r="AM1615" s="2"/>
      <c r="AO1615" s="2"/>
    </row>
    <row r="1616" spans="2:41" ht="13" x14ac:dyDescent="0.15">
      <c r="B1616" s="2"/>
      <c r="D1616" s="2"/>
      <c r="F1616" s="2"/>
      <c r="G1616" s="2"/>
      <c r="H1616" s="2"/>
      <c r="I1616" s="2"/>
      <c r="M1616" s="2"/>
      <c r="N1616" s="2"/>
      <c r="P1616" s="2"/>
      <c r="Q1616" s="2"/>
      <c r="S1616" s="2"/>
      <c r="W1616" s="2"/>
      <c r="X1616" s="2"/>
      <c r="AA1616" s="2"/>
      <c r="AC1616" s="2"/>
      <c r="AG1616" s="2"/>
      <c r="AH1616" s="2"/>
      <c r="AO1616" s="2"/>
    </row>
    <row r="1617" spans="2:41" ht="13" x14ac:dyDescent="0.15">
      <c r="B1617" s="2"/>
      <c r="AO1617" s="2"/>
    </row>
    <row r="1618" spans="2:41" ht="13" x14ac:dyDescent="0.15">
      <c r="B1618" s="2"/>
      <c r="AO1618" s="2"/>
    </row>
    <row r="1619" spans="2:41" ht="13" x14ac:dyDescent="0.15">
      <c r="B1619" s="2"/>
      <c r="AO1619" s="2"/>
    </row>
    <row r="1620" spans="2:41" ht="13" x14ac:dyDescent="0.15">
      <c r="B1620" s="2"/>
      <c r="AO1620" s="2"/>
    </row>
    <row r="1621" spans="2:41" ht="13" x14ac:dyDescent="0.15">
      <c r="B1621" s="2"/>
      <c r="AO1621" s="2"/>
    </row>
    <row r="1622" spans="2:41" ht="13" x14ac:dyDescent="0.15">
      <c r="B1622" s="2"/>
      <c r="AO1622" s="2"/>
    </row>
    <row r="1623" spans="2:41" ht="13" x14ac:dyDescent="0.15">
      <c r="B1623" s="2"/>
      <c r="D1623" s="2"/>
      <c r="M1623" s="2"/>
      <c r="N1623" s="2"/>
      <c r="Q1623" s="2"/>
      <c r="S1623" s="2"/>
      <c r="W1623" s="2"/>
      <c r="X1623" s="2"/>
      <c r="AO1623" s="2"/>
    </row>
    <row r="1624" spans="2:41" ht="13" x14ac:dyDescent="0.15">
      <c r="B1624" s="2"/>
      <c r="AO1624" s="2"/>
    </row>
    <row r="1625" spans="2:41" ht="13" x14ac:dyDescent="0.15">
      <c r="B1625" s="2"/>
      <c r="D1625" s="2"/>
      <c r="M1625" s="2"/>
      <c r="N1625" s="2"/>
      <c r="S1625" s="2"/>
      <c r="W1625" s="2"/>
      <c r="X1625" s="2"/>
      <c r="AO1625" s="2"/>
    </row>
    <row r="1626" spans="2:41" ht="13" x14ac:dyDescent="0.15">
      <c r="B1626" s="2"/>
      <c r="C1626" s="2"/>
      <c r="D1626" s="2"/>
      <c r="G1626" s="2"/>
      <c r="I1626" s="2"/>
      <c r="M1626" s="2"/>
      <c r="N1626" s="2"/>
      <c r="Q1626" s="2"/>
      <c r="S1626" s="2"/>
      <c r="W1626" s="2"/>
      <c r="X1626" s="2"/>
      <c r="AA1626" s="2"/>
      <c r="AC1626" s="2"/>
      <c r="AG1626" s="2"/>
      <c r="AO1626" s="2"/>
    </row>
    <row r="1627" spans="2:41" ht="13" x14ac:dyDescent="0.15">
      <c r="B1627" s="2"/>
      <c r="C1627" s="2"/>
      <c r="D1627" s="2"/>
      <c r="M1627" s="2"/>
      <c r="N1627" s="2"/>
      <c r="Q1627" s="2"/>
      <c r="S1627" s="2"/>
      <c r="W1627" s="2"/>
      <c r="X1627" s="2"/>
      <c r="AG1627" s="2"/>
      <c r="AO1627" s="2"/>
    </row>
    <row r="1628" spans="2:41" ht="13" x14ac:dyDescent="0.15">
      <c r="B1628" s="2"/>
      <c r="C1628" s="2"/>
      <c r="D1628" s="2"/>
      <c r="M1628" s="2"/>
      <c r="N1628" s="2"/>
      <c r="S1628" s="2"/>
      <c r="W1628" s="2"/>
      <c r="X1628" s="2"/>
      <c r="AO1628" s="2"/>
    </row>
    <row r="1629" spans="2:41" ht="13" x14ac:dyDescent="0.15">
      <c r="B1629" s="2"/>
      <c r="AO1629" s="2"/>
    </row>
    <row r="1630" spans="2:41" ht="13" x14ac:dyDescent="0.15">
      <c r="B1630" s="2"/>
      <c r="AO1630" s="2"/>
    </row>
    <row r="1631" spans="2:41" ht="13" x14ac:dyDescent="0.15">
      <c r="B1631" s="2"/>
      <c r="AO1631" s="2"/>
    </row>
    <row r="1632" spans="2:41" ht="13" x14ac:dyDescent="0.15">
      <c r="B1632" s="2"/>
      <c r="AO1632" s="2"/>
    </row>
    <row r="1633" spans="2:41" ht="13" x14ac:dyDescent="0.15">
      <c r="B1633" s="2"/>
      <c r="AO1633" s="2"/>
    </row>
    <row r="1634" spans="2:41" ht="13" x14ac:dyDescent="0.15">
      <c r="B1634" s="2"/>
      <c r="D1634" s="2"/>
      <c r="M1634" s="2"/>
      <c r="N1634" s="2"/>
      <c r="W1634" s="2"/>
      <c r="X1634" s="2"/>
      <c r="AO1634" s="2"/>
    </row>
    <row r="1635" spans="2:41" ht="13" x14ac:dyDescent="0.15">
      <c r="B1635" s="2"/>
      <c r="D1635" s="2"/>
      <c r="N1635" s="2"/>
      <c r="W1635" s="2"/>
      <c r="AO1635" s="2"/>
    </row>
    <row r="1636" spans="2:41" ht="13" x14ac:dyDescent="0.15">
      <c r="B1636" s="2"/>
      <c r="AO1636" s="2"/>
    </row>
    <row r="1637" spans="2:41" ht="13" x14ac:dyDescent="0.15">
      <c r="B1637" s="2"/>
      <c r="AO1637" s="2"/>
    </row>
    <row r="1638" spans="2:41" ht="13" x14ac:dyDescent="0.15">
      <c r="B1638" s="2"/>
      <c r="AO1638" s="2"/>
    </row>
    <row r="1639" spans="2:41" ht="13" x14ac:dyDescent="0.15">
      <c r="B1639" s="2"/>
      <c r="AO1639" s="2"/>
    </row>
    <row r="1640" spans="2:41" ht="13" x14ac:dyDescent="0.15">
      <c r="B1640" s="2"/>
      <c r="C1640" s="2"/>
      <c r="D1640" s="2"/>
      <c r="M1640" s="2"/>
      <c r="N1640" s="2"/>
      <c r="W1640" s="2"/>
      <c r="X1640" s="2"/>
      <c r="AO1640" s="2"/>
    </row>
    <row r="1641" spans="2:41" ht="13" x14ac:dyDescent="0.15">
      <c r="B1641" s="2"/>
      <c r="AO1641" s="2"/>
    </row>
    <row r="1642" spans="2:41" ht="13" x14ac:dyDescent="0.15">
      <c r="B1642" s="2"/>
      <c r="AO1642" s="2"/>
    </row>
    <row r="1643" spans="2:41" ht="13" x14ac:dyDescent="0.15">
      <c r="B1643" s="2"/>
      <c r="AO1643" s="2"/>
    </row>
    <row r="1644" spans="2:41" ht="13" x14ac:dyDescent="0.15">
      <c r="B1644" s="2"/>
      <c r="AO1644" s="2"/>
    </row>
    <row r="1645" spans="2:41" ht="13" x14ac:dyDescent="0.15">
      <c r="B1645" s="2"/>
      <c r="D1645" s="2"/>
      <c r="M1645" s="2"/>
      <c r="N1645" s="2"/>
      <c r="W1645" s="2"/>
      <c r="X1645" s="2"/>
      <c r="AG1645" s="2"/>
      <c r="AO1645" s="2"/>
    </row>
    <row r="1646" spans="2:41" ht="13" x14ac:dyDescent="0.15">
      <c r="B1646" s="2"/>
      <c r="N1646" s="2"/>
      <c r="AO1646" s="2"/>
    </row>
    <row r="1647" spans="2:41" ht="13" x14ac:dyDescent="0.15">
      <c r="B1647" s="2"/>
      <c r="AO1647" s="2"/>
    </row>
    <row r="1648" spans="2:41" ht="13" x14ac:dyDescent="0.15">
      <c r="B1648" s="2"/>
      <c r="AO1648" s="2"/>
    </row>
    <row r="1649" spans="2:41" ht="13" x14ac:dyDescent="0.15">
      <c r="B1649" s="2"/>
      <c r="AO1649" s="2"/>
    </row>
    <row r="1650" spans="2:41" ht="13" x14ac:dyDescent="0.15">
      <c r="B1650" s="2"/>
      <c r="AO1650" s="2"/>
    </row>
    <row r="1651" spans="2:41" ht="13" x14ac:dyDescent="0.15">
      <c r="B1651" s="2"/>
      <c r="AO1651" s="2"/>
    </row>
    <row r="1652" spans="2:41" ht="13" x14ac:dyDescent="0.15">
      <c r="B1652" s="2"/>
      <c r="AO1652" s="2"/>
    </row>
    <row r="1653" spans="2:41" ht="13" x14ac:dyDescent="0.15">
      <c r="B1653" s="2"/>
      <c r="AO1653" s="2"/>
    </row>
    <row r="1654" spans="2:41" ht="13" x14ac:dyDescent="0.15">
      <c r="B1654" s="2"/>
      <c r="AO1654" s="2"/>
    </row>
    <row r="1655" spans="2:41" ht="13" x14ac:dyDescent="0.15">
      <c r="B1655" s="2"/>
      <c r="AO1655" s="2"/>
    </row>
    <row r="1656" spans="2:41" ht="13" x14ac:dyDescent="0.15">
      <c r="B1656" s="2"/>
      <c r="AO1656" s="2"/>
    </row>
    <row r="1657" spans="2:41" ht="13" x14ac:dyDescent="0.15">
      <c r="B1657" s="2"/>
      <c r="D1657" s="2"/>
      <c r="M1657" s="2"/>
      <c r="N1657" s="2"/>
      <c r="W1657" s="2"/>
      <c r="X1657" s="2"/>
      <c r="AO1657" s="2"/>
    </row>
    <row r="1658" spans="2:41" ht="13" x14ac:dyDescent="0.15">
      <c r="B1658" s="2"/>
      <c r="AO1658" s="2"/>
    </row>
    <row r="1659" spans="2:41" ht="13" x14ac:dyDescent="0.15">
      <c r="B1659" s="2"/>
      <c r="AO1659" s="2"/>
    </row>
    <row r="1660" spans="2:41" ht="13" x14ac:dyDescent="0.15">
      <c r="B1660" s="2"/>
      <c r="AO1660" s="2"/>
    </row>
    <row r="1661" spans="2:41" ht="13" x14ac:dyDescent="0.15">
      <c r="B1661" s="2"/>
      <c r="AO1661" s="2"/>
    </row>
    <row r="1662" spans="2:41" ht="13" x14ac:dyDescent="0.15">
      <c r="B1662" s="2"/>
      <c r="AO1662" s="2"/>
    </row>
    <row r="1663" spans="2:41" ht="13" x14ac:dyDescent="0.15">
      <c r="B1663" s="2"/>
      <c r="AO1663" s="2"/>
    </row>
    <row r="1664" spans="2:41" ht="13" x14ac:dyDescent="0.15">
      <c r="B1664" s="2"/>
      <c r="C1664" s="2"/>
      <c r="D1664" s="2"/>
      <c r="M1664" s="2"/>
      <c r="N1664" s="2"/>
      <c r="W1664" s="2"/>
      <c r="AO1664" s="2"/>
    </row>
    <row r="1665" spans="2:41" ht="13" x14ac:dyDescent="0.15">
      <c r="B1665" s="2"/>
      <c r="AO1665" s="2"/>
    </row>
    <row r="1666" spans="2:41" ht="13" x14ac:dyDescent="0.15">
      <c r="B1666" s="2"/>
      <c r="AO1666" s="2"/>
    </row>
    <row r="1667" spans="2:41" ht="13" x14ac:dyDescent="0.15">
      <c r="B1667" s="2"/>
      <c r="AO1667" s="2"/>
    </row>
    <row r="1668" spans="2:41" ht="13" x14ac:dyDescent="0.15">
      <c r="B1668" s="2"/>
      <c r="AO1668" s="2"/>
    </row>
    <row r="1669" spans="2:41" ht="13" x14ac:dyDescent="0.15">
      <c r="B1669" s="2"/>
      <c r="AO1669" s="2"/>
    </row>
    <row r="1670" spans="2:41" ht="13" x14ac:dyDescent="0.15">
      <c r="B1670" s="2"/>
      <c r="D1670" s="2"/>
      <c r="AO1670" s="2"/>
    </row>
    <row r="1671" spans="2:41" ht="13" x14ac:dyDescent="0.15">
      <c r="B1671" s="2"/>
      <c r="AO1671" s="2"/>
    </row>
    <row r="1672" spans="2:41" ht="13" x14ac:dyDescent="0.15">
      <c r="B1672" s="2"/>
      <c r="AO1672" s="2"/>
    </row>
    <row r="1673" spans="2:41" ht="13" x14ac:dyDescent="0.15">
      <c r="B1673" s="2"/>
      <c r="AO1673" s="2"/>
    </row>
    <row r="1674" spans="2:41" ht="13" x14ac:dyDescent="0.15">
      <c r="B1674" s="2"/>
      <c r="AO1674" s="2"/>
    </row>
    <row r="1675" spans="2:41" ht="13" x14ac:dyDescent="0.15">
      <c r="B1675" s="2"/>
      <c r="AO1675" s="2"/>
    </row>
    <row r="1676" spans="2:41" ht="13" x14ac:dyDescent="0.15">
      <c r="B1676" s="2"/>
      <c r="D1676" s="2"/>
      <c r="F1676" s="2"/>
      <c r="G1676" s="2"/>
      <c r="H1676" s="2"/>
      <c r="I1676" s="2"/>
      <c r="M1676" s="2"/>
      <c r="N1676" s="2"/>
      <c r="P1676" s="2"/>
      <c r="Q1676" s="2"/>
      <c r="S1676" s="2"/>
      <c r="W1676" s="2"/>
      <c r="X1676" s="2"/>
      <c r="AA1676" s="2"/>
      <c r="AC1676" s="2"/>
      <c r="AO1676" s="2"/>
    </row>
    <row r="1677" spans="2:41" ht="13" x14ac:dyDescent="0.15">
      <c r="B1677" s="2"/>
      <c r="D1677" s="2"/>
      <c r="F1677" s="2"/>
      <c r="G1677" s="2"/>
      <c r="H1677" s="2"/>
      <c r="I1677" s="2"/>
      <c r="M1677" s="2"/>
      <c r="N1677" s="2"/>
      <c r="Q1677" s="2"/>
      <c r="S1677" s="2"/>
      <c r="W1677" s="2"/>
      <c r="X1677" s="2"/>
      <c r="AC1677" s="2"/>
      <c r="AO1677" s="2"/>
    </row>
    <row r="1678" spans="2:41" ht="13" x14ac:dyDescent="0.15">
      <c r="B1678" s="2"/>
      <c r="D1678" s="2"/>
      <c r="N1678" s="2"/>
      <c r="AO1678" s="2"/>
    </row>
    <row r="1679" spans="2:41" ht="13" x14ac:dyDescent="0.15">
      <c r="B1679" s="2"/>
      <c r="N1679" s="2"/>
      <c r="AO1679" s="2"/>
    </row>
    <row r="1680" spans="2:41" ht="13" x14ac:dyDescent="0.15">
      <c r="B1680" s="2"/>
      <c r="AO1680" s="2"/>
    </row>
    <row r="1681" spans="2:41" ht="13" x14ac:dyDescent="0.15">
      <c r="B1681" s="2"/>
      <c r="D1681" s="2"/>
      <c r="N1681" s="2"/>
      <c r="AO1681" s="2"/>
    </row>
    <row r="1682" spans="2:41" ht="13" x14ac:dyDescent="0.15">
      <c r="B1682" s="2"/>
      <c r="AO1682" s="2"/>
    </row>
    <row r="1683" spans="2:41" ht="13" x14ac:dyDescent="0.15">
      <c r="B1683" s="2"/>
      <c r="AO1683" s="2"/>
    </row>
    <row r="1684" spans="2:41" ht="13" x14ac:dyDescent="0.15">
      <c r="B1684" s="2"/>
      <c r="AO1684" s="2"/>
    </row>
    <row r="1685" spans="2:41" ht="13" x14ac:dyDescent="0.15">
      <c r="B1685" s="2"/>
      <c r="AO1685" s="2"/>
    </row>
    <row r="1686" spans="2:41" ht="13" x14ac:dyDescent="0.15">
      <c r="B1686" s="2"/>
      <c r="AO1686" s="2"/>
    </row>
    <row r="1687" spans="2:41" ht="13" x14ac:dyDescent="0.15">
      <c r="B1687" s="2"/>
      <c r="AO1687" s="2"/>
    </row>
    <row r="1688" spans="2:41" ht="13" x14ac:dyDescent="0.15">
      <c r="B1688" s="2"/>
      <c r="AO1688" s="2"/>
    </row>
    <row r="1689" spans="2:41" ht="13" x14ac:dyDescent="0.15">
      <c r="B1689" s="2"/>
      <c r="AO1689" s="2"/>
    </row>
    <row r="1690" spans="2:41" ht="13" x14ac:dyDescent="0.15">
      <c r="B1690" s="2"/>
      <c r="D1690" s="2"/>
      <c r="F1690" s="2"/>
      <c r="G1690" s="2"/>
      <c r="H1690" s="2"/>
      <c r="I1690" s="2"/>
      <c r="N1690" s="2"/>
      <c r="P1690" s="2"/>
      <c r="Q1690" s="2"/>
      <c r="S1690" s="2"/>
      <c r="W1690" s="2"/>
      <c r="X1690" s="2"/>
      <c r="AA1690" s="2"/>
      <c r="AC1690" s="2"/>
      <c r="AG1690" s="2"/>
      <c r="AO1690" s="2"/>
    </row>
    <row r="1691" spans="2:41" ht="13" x14ac:dyDescent="0.15">
      <c r="B1691" s="2"/>
      <c r="D1691" s="2"/>
      <c r="G1691" s="2"/>
      <c r="H1691" s="2"/>
      <c r="I1691" s="2"/>
      <c r="N1691" s="2"/>
      <c r="Q1691" s="2"/>
      <c r="S1691" s="2"/>
      <c r="W1691" s="2"/>
      <c r="X1691" s="2"/>
      <c r="AA1691" s="2"/>
      <c r="AC1691" s="2"/>
      <c r="AO1691" s="2"/>
    </row>
    <row r="1692" spans="2:41" ht="13" x14ac:dyDescent="0.15">
      <c r="B1692" s="2"/>
      <c r="AO1692" s="2"/>
    </row>
    <row r="1693" spans="2:41" ht="13" x14ac:dyDescent="0.15">
      <c r="B1693" s="2"/>
      <c r="AO1693" s="2"/>
    </row>
    <row r="1694" spans="2:41" ht="13" x14ac:dyDescent="0.15">
      <c r="B1694" s="2"/>
      <c r="AO1694" s="2"/>
    </row>
    <row r="1695" spans="2:41" ht="13" x14ac:dyDescent="0.15">
      <c r="B1695" s="2"/>
      <c r="AO1695" s="2"/>
    </row>
    <row r="1696" spans="2:41" ht="13" x14ac:dyDescent="0.15">
      <c r="B1696" s="2"/>
      <c r="AO1696" s="2"/>
    </row>
    <row r="1697" spans="2:41" ht="13" x14ac:dyDescent="0.15">
      <c r="B1697" s="2"/>
      <c r="AO1697" s="2"/>
    </row>
    <row r="1698" spans="2:41" ht="13" x14ac:dyDescent="0.15">
      <c r="B1698" s="2"/>
      <c r="AO1698" s="2"/>
    </row>
    <row r="1699" spans="2:41" ht="13" x14ac:dyDescent="0.15">
      <c r="B1699" s="2"/>
      <c r="AO1699" s="2"/>
    </row>
    <row r="1700" spans="2:41" ht="13" x14ac:dyDescent="0.15">
      <c r="B1700" s="2"/>
      <c r="AO1700" s="2"/>
    </row>
    <row r="1701" spans="2:41" ht="13" x14ac:dyDescent="0.15">
      <c r="B1701" s="2"/>
      <c r="AO1701" s="2"/>
    </row>
    <row r="1702" spans="2:41" ht="13" x14ac:dyDescent="0.15">
      <c r="B1702" s="2"/>
      <c r="AO1702" s="2"/>
    </row>
    <row r="1703" spans="2:41" ht="13" x14ac:dyDescent="0.15">
      <c r="B1703" s="2"/>
      <c r="AO1703" s="2"/>
    </row>
    <row r="1704" spans="2:41" ht="13" x14ac:dyDescent="0.15">
      <c r="B1704" s="2"/>
      <c r="AO1704" s="2"/>
    </row>
    <row r="1705" spans="2:41" ht="13" x14ac:dyDescent="0.15">
      <c r="B1705" s="2"/>
      <c r="AO1705" s="2"/>
    </row>
    <row r="1706" spans="2:41" ht="13" x14ac:dyDescent="0.15">
      <c r="B1706" s="2"/>
      <c r="AO1706" s="2"/>
    </row>
    <row r="1707" spans="2:41" ht="13" x14ac:dyDescent="0.15">
      <c r="B1707" s="2"/>
      <c r="AO1707" s="2"/>
    </row>
    <row r="1708" spans="2:41" ht="13" x14ac:dyDescent="0.15">
      <c r="B1708" s="2"/>
      <c r="AO1708" s="2"/>
    </row>
    <row r="1709" spans="2:41" ht="13" x14ac:dyDescent="0.15">
      <c r="B1709" s="2"/>
      <c r="D1709" s="2"/>
      <c r="G1709" s="2"/>
      <c r="H1709" s="2"/>
      <c r="I1709" s="2"/>
      <c r="N1709" s="2"/>
      <c r="Q1709" s="2"/>
      <c r="S1709" s="2"/>
      <c r="W1709" s="2"/>
      <c r="X1709" s="2"/>
      <c r="AA1709" s="2"/>
      <c r="AC1709" s="2"/>
      <c r="AO1709" s="2"/>
    </row>
    <row r="1710" spans="2:41" ht="13" x14ac:dyDescent="0.15">
      <c r="B1710" s="2"/>
      <c r="D1710" s="2"/>
      <c r="G1710" s="2"/>
      <c r="H1710" s="2"/>
      <c r="I1710" s="2"/>
      <c r="N1710" s="2"/>
      <c r="Q1710" s="2"/>
      <c r="S1710" s="2"/>
      <c r="W1710" s="2"/>
      <c r="X1710" s="2"/>
      <c r="AA1710" s="2"/>
      <c r="AC1710" s="2"/>
      <c r="AO1710" s="2"/>
    </row>
    <row r="1711" spans="2:41" ht="13" x14ac:dyDescent="0.15">
      <c r="B1711" s="2"/>
      <c r="AO1711" s="2"/>
    </row>
    <row r="1712" spans="2:41" ht="13" x14ac:dyDescent="0.15">
      <c r="B1712" s="2"/>
      <c r="AO1712" s="2"/>
    </row>
    <row r="1713" spans="2:41" ht="13" x14ac:dyDescent="0.15">
      <c r="B1713" s="2"/>
      <c r="D1713" s="2"/>
      <c r="G1713" s="2"/>
      <c r="I1713" s="2"/>
      <c r="M1713" s="2"/>
      <c r="N1713" s="2"/>
      <c r="Q1713" s="2"/>
      <c r="S1713" s="2"/>
      <c r="W1713" s="2"/>
      <c r="X1713" s="2"/>
      <c r="AA1713" s="2"/>
      <c r="AC1713" s="2"/>
      <c r="AG1713" s="2"/>
      <c r="AO1713" s="2"/>
    </row>
    <row r="1714" spans="2:41" ht="13" x14ac:dyDescent="0.15">
      <c r="B1714" s="2"/>
      <c r="D1714" s="2"/>
      <c r="N1714" s="2"/>
      <c r="S1714" s="2"/>
      <c r="X1714" s="2"/>
      <c r="AO1714" s="2"/>
    </row>
    <row r="1715" spans="2:41" ht="13" x14ac:dyDescent="0.15">
      <c r="B1715" s="2"/>
      <c r="AO1715" s="2"/>
    </row>
    <row r="1716" spans="2:41" ht="13" x14ac:dyDescent="0.15">
      <c r="B1716" s="2"/>
      <c r="AO1716" s="2"/>
    </row>
    <row r="1717" spans="2:41" ht="13" x14ac:dyDescent="0.15">
      <c r="B1717" s="2"/>
      <c r="N1717" s="2"/>
      <c r="AO1717" s="2"/>
    </row>
    <row r="1718" spans="2:41" ht="13" x14ac:dyDescent="0.15">
      <c r="B1718" s="2"/>
      <c r="AO1718" s="2"/>
    </row>
    <row r="1719" spans="2:41" ht="13" x14ac:dyDescent="0.15">
      <c r="B1719" s="2"/>
      <c r="AO1719" s="2"/>
    </row>
    <row r="1720" spans="2:41" ht="13" x14ac:dyDescent="0.15">
      <c r="B1720" s="2"/>
      <c r="AO1720" s="2"/>
    </row>
    <row r="1721" spans="2:41" ht="13" x14ac:dyDescent="0.15">
      <c r="B1721" s="2"/>
      <c r="AO1721" s="2"/>
    </row>
    <row r="1722" spans="2:41" ht="13" x14ac:dyDescent="0.15">
      <c r="B1722" s="2"/>
      <c r="AO1722" s="2"/>
    </row>
    <row r="1723" spans="2:41" ht="13" x14ac:dyDescent="0.15">
      <c r="B1723" s="2"/>
      <c r="AO1723" s="2"/>
    </row>
    <row r="1724" spans="2:41" ht="13" x14ac:dyDescent="0.15">
      <c r="B1724" s="2"/>
      <c r="AO1724" s="2"/>
    </row>
    <row r="1725" spans="2:41" ht="13" x14ac:dyDescent="0.15">
      <c r="B1725" s="2"/>
      <c r="AO1725" s="2"/>
    </row>
    <row r="1726" spans="2:41" ht="13" x14ac:dyDescent="0.15">
      <c r="B1726" s="2"/>
      <c r="N1726" s="2"/>
      <c r="S1726" s="2"/>
      <c r="X1726" s="2"/>
      <c r="AC1726" s="2"/>
      <c r="AO1726" s="2"/>
    </row>
    <row r="1727" spans="2:41" ht="13" x14ac:dyDescent="0.15">
      <c r="B1727" s="2"/>
      <c r="D1727" s="2"/>
      <c r="N1727" s="2"/>
      <c r="W1727" s="2"/>
      <c r="X1727" s="2"/>
      <c r="AO1727" s="2"/>
    </row>
    <row r="1728" spans="2:41" ht="13" x14ac:dyDescent="0.15">
      <c r="B1728" s="2"/>
      <c r="AO1728" s="2"/>
    </row>
    <row r="1729" spans="2:41" ht="13" x14ac:dyDescent="0.15">
      <c r="B1729" s="2"/>
      <c r="AO1729" s="2"/>
    </row>
    <row r="1730" spans="2:41" ht="13" x14ac:dyDescent="0.15">
      <c r="B1730" s="2"/>
      <c r="AO1730" s="2"/>
    </row>
    <row r="1731" spans="2:41" ht="13" x14ac:dyDescent="0.15">
      <c r="B1731" s="2"/>
      <c r="AO1731" s="2"/>
    </row>
    <row r="1732" spans="2:41" ht="13" x14ac:dyDescent="0.15">
      <c r="B1732" s="2"/>
      <c r="AO1732" s="2"/>
    </row>
    <row r="1733" spans="2:41" ht="13" x14ac:dyDescent="0.15">
      <c r="B1733" s="2"/>
      <c r="D1733" s="2"/>
      <c r="N1733" s="2"/>
      <c r="AO1733" s="2"/>
    </row>
    <row r="1734" spans="2:41" ht="13" x14ac:dyDescent="0.15">
      <c r="B1734" s="2"/>
      <c r="AO1734" s="2"/>
    </row>
    <row r="1735" spans="2:41" ht="13" x14ac:dyDescent="0.15">
      <c r="B1735" s="2"/>
      <c r="AO1735" s="2"/>
    </row>
    <row r="1736" spans="2:41" ht="13" x14ac:dyDescent="0.15">
      <c r="B1736" s="2"/>
      <c r="C1736" s="2"/>
      <c r="D1736" s="2"/>
      <c r="M1736" s="2"/>
      <c r="N1736" s="2"/>
      <c r="Q1736" s="2"/>
      <c r="S1736" s="2"/>
      <c r="W1736" s="2"/>
      <c r="X1736" s="2"/>
      <c r="AC1736" s="2"/>
      <c r="AG1736" s="2"/>
      <c r="AO1736" s="2"/>
    </row>
    <row r="1737" spans="2:41" ht="13" x14ac:dyDescent="0.15">
      <c r="B1737" s="2"/>
      <c r="AO1737" s="2"/>
    </row>
    <row r="1738" spans="2:41" ht="13" x14ac:dyDescent="0.15">
      <c r="B1738" s="2"/>
      <c r="AO1738" s="2"/>
    </row>
    <row r="1739" spans="2:41" ht="13" x14ac:dyDescent="0.15">
      <c r="B1739" s="2"/>
      <c r="AO1739" s="2"/>
    </row>
    <row r="1740" spans="2:41" ht="13" x14ac:dyDescent="0.15">
      <c r="B1740" s="2"/>
      <c r="AO1740" s="2"/>
    </row>
    <row r="1741" spans="2:41" ht="13" x14ac:dyDescent="0.15">
      <c r="B1741" s="2"/>
      <c r="AO1741" s="2"/>
    </row>
    <row r="1742" spans="2:41" ht="13" x14ac:dyDescent="0.15">
      <c r="B1742" s="2"/>
      <c r="D1742" s="2"/>
      <c r="AO1742" s="2"/>
    </row>
    <row r="1743" spans="2:41" ht="13" x14ac:dyDescent="0.15">
      <c r="B1743" s="2"/>
      <c r="D1743" s="2"/>
      <c r="N1743" s="2"/>
      <c r="AO1743" s="2"/>
    </row>
    <row r="1744" spans="2:41" ht="13" x14ac:dyDescent="0.15">
      <c r="B1744" s="2"/>
      <c r="AO1744" s="2"/>
    </row>
    <row r="1745" spans="2:41" ht="13" x14ac:dyDescent="0.15">
      <c r="B1745" s="2"/>
      <c r="C1745" s="2"/>
      <c r="D1745" s="2"/>
      <c r="F1745" s="2"/>
      <c r="G1745" s="2"/>
      <c r="H1745" s="2"/>
      <c r="I1745" s="2"/>
      <c r="K1745" s="2"/>
      <c r="M1745" s="2"/>
      <c r="N1745" s="2"/>
      <c r="P1745" s="2"/>
      <c r="Q1745" s="2"/>
      <c r="R1745" s="2"/>
      <c r="S1745" s="2"/>
      <c r="T1745" s="2"/>
      <c r="U1745" s="2"/>
      <c r="W1745" s="2"/>
      <c r="X1745" s="2"/>
      <c r="Z1745" s="2"/>
      <c r="AA1745" s="2"/>
      <c r="AB1745" s="2"/>
      <c r="AC1745" s="2"/>
      <c r="AD1745" s="2"/>
      <c r="AE1745" s="2"/>
      <c r="AG1745" s="2"/>
      <c r="AH1745" s="2"/>
      <c r="AM1745" s="2"/>
      <c r="AO1745" s="2"/>
    </row>
    <row r="1746" spans="2:41" ht="13" x14ac:dyDescent="0.15">
      <c r="B1746" s="2"/>
      <c r="D1746" s="2"/>
      <c r="F1746" s="2"/>
      <c r="G1746" s="2"/>
      <c r="H1746" s="2"/>
      <c r="I1746" s="2"/>
      <c r="M1746" s="2"/>
      <c r="N1746" s="2"/>
      <c r="P1746" s="2"/>
      <c r="Q1746" s="2"/>
      <c r="R1746" s="2"/>
      <c r="S1746" s="2"/>
      <c r="T1746" s="2"/>
      <c r="W1746" s="2"/>
      <c r="X1746" s="2"/>
      <c r="AA1746" s="2"/>
      <c r="AB1746" s="2"/>
      <c r="AC1746" s="2"/>
      <c r="AD1746" s="2"/>
      <c r="AH1746" s="2"/>
      <c r="AO1746" s="2"/>
    </row>
    <row r="1747" spans="2:41" ht="13" x14ac:dyDescent="0.15">
      <c r="B1747" s="2"/>
      <c r="C1747" s="2"/>
      <c r="D1747" s="2"/>
      <c r="F1747" s="2"/>
      <c r="G1747" s="2"/>
      <c r="H1747" s="2"/>
      <c r="I1747" s="2"/>
      <c r="M1747" s="2"/>
      <c r="N1747" s="2"/>
      <c r="P1747" s="2"/>
      <c r="Q1747" s="2"/>
      <c r="R1747" s="2"/>
      <c r="S1747" s="2"/>
      <c r="W1747" s="2"/>
      <c r="X1747" s="2"/>
      <c r="AA1747" s="2"/>
      <c r="AC1747" s="2"/>
      <c r="AG1747" s="2"/>
      <c r="AO1747" s="2"/>
    </row>
    <row r="1748" spans="2:41" ht="13" x14ac:dyDescent="0.15">
      <c r="B1748" s="2"/>
      <c r="C1748" s="2"/>
      <c r="D1748" s="2"/>
      <c r="G1748" s="2"/>
      <c r="M1748" s="2"/>
      <c r="N1748" s="2"/>
      <c r="Q1748" s="2"/>
      <c r="S1748" s="2"/>
      <c r="W1748" s="2"/>
      <c r="X1748" s="2"/>
      <c r="AO1748" s="2"/>
    </row>
    <row r="1749" spans="2:41" ht="13" x14ac:dyDescent="0.15">
      <c r="B1749" s="2"/>
      <c r="AO1749" s="2"/>
    </row>
    <row r="1750" spans="2:41" ht="13" x14ac:dyDescent="0.15">
      <c r="B1750" s="2"/>
      <c r="AO1750" s="2"/>
    </row>
    <row r="1751" spans="2:41" ht="13" x14ac:dyDescent="0.15">
      <c r="B1751" s="2"/>
      <c r="D1751" s="2"/>
      <c r="M1751" s="2"/>
      <c r="N1751" s="2"/>
      <c r="W1751" s="2"/>
      <c r="AO1751" s="2"/>
    </row>
    <row r="1752" spans="2:41" ht="13" x14ac:dyDescent="0.15">
      <c r="B1752" s="2"/>
      <c r="D1752" s="2"/>
      <c r="M1752" s="2"/>
      <c r="N1752" s="2"/>
      <c r="W1752" s="2"/>
      <c r="X1752" s="2"/>
      <c r="AO1752" s="2"/>
    </row>
    <row r="1753" spans="2:41" ht="13" x14ac:dyDescent="0.15">
      <c r="B1753" s="2"/>
      <c r="D1753" s="2"/>
      <c r="M1753" s="2"/>
      <c r="N1753" s="2"/>
      <c r="W1753" s="2"/>
      <c r="AO1753" s="2"/>
    </row>
    <row r="1754" spans="2:41" ht="13" x14ac:dyDescent="0.15">
      <c r="B1754" s="2"/>
      <c r="C1754" s="2"/>
      <c r="D1754" s="2"/>
      <c r="M1754" s="2"/>
      <c r="N1754" s="2"/>
      <c r="W1754" s="2"/>
      <c r="X1754" s="2"/>
      <c r="AG1754" s="2"/>
      <c r="AO1754" s="2"/>
    </row>
    <row r="1755" spans="2:41" ht="13" x14ac:dyDescent="0.15">
      <c r="B1755" s="2"/>
      <c r="D1755" s="2"/>
      <c r="F1755" s="2"/>
      <c r="G1755" s="2"/>
      <c r="H1755" s="2"/>
      <c r="I1755" s="2"/>
      <c r="M1755" s="2"/>
      <c r="N1755" s="2"/>
      <c r="P1755" s="2"/>
      <c r="Q1755" s="2"/>
      <c r="R1755" s="2"/>
      <c r="S1755" s="2"/>
      <c r="W1755" s="2"/>
      <c r="X1755" s="2"/>
      <c r="Z1755" s="2"/>
      <c r="AA1755" s="2"/>
      <c r="AC1755" s="2"/>
      <c r="AG1755" s="2"/>
      <c r="AO1755" s="2"/>
    </row>
    <row r="1756" spans="2:41" ht="13" x14ac:dyDescent="0.15">
      <c r="B1756" s="2"/>
      <c r="C1756" s="2"/>
      <c r="D1756" s="2"/>
      <c r="M1756" s="2"/>
      <c r="N1756" s="2"/>
      <c r="U1756" s="2"/>
      <c r="W1756" s="2"/>
      <c r="X1756" s="2"/>
      <c r="AG1756" s="2"/>
      <c r="AO1756" s="2"/>
    </row>
    <row r="1757" spans="2:41" ht="13" x14ac:dyDescent="0.15">
      <c r="B1757" s="2"/>
      <c r="D1757" s="2"/>
      <c r="M1757" s="2"/>
      <c r="W1757" s="2"/>
      <c r="AO1757" s="2"/>
    </row>
    <row r="1758" spans="2:41" ht="13" x14ac:dyDescent="0.15">
      <c r="B1758" s="2"/>
      <c r="AO1758" s="2"/>
    </row>
    <row r="1759" spans="2:41" ht="13" x14ac:dyDescent="0.15">
      <c r="B1759" s="2"/>
      <c r="AO1759" s="2"/>
    </row>
    <row r="1760" spans="2:41" ht="13" x14ac:dyDescent="0.15">
      <c r="B1760" s="2"/>
      <c r="AO1760" s="2"/>
    </row>
    <row r="1761" spans="2:41" ht="13" x14ac:dyDescent="0.15">
      <c r="B1761" s="2"/>
      <c r="AO1761" s="2"/>
    </row>
    <row r="1762" spans="2:41" ht="13" x14ac:dyDescent="0.15">
      <c r="B1762" s="2"/>
      <c r="AO1762" s="2"/>
    </row>
    <row r="1763" spans="2:41" ht="13" x14ac:dyDescent="0.15">
      <c r="B1763" s="2"/>
      <c r="AO1763" s="2"/>
    </row>
    <row r="1764" spans="2:41" ht="13" x14ac:dyDescent="0.15">
      <c r="B1764" s="2"/>
      <c r="AO1764" s="2"/>
    </row>
    <row r="1765" spans="2:41" ht="13" x14ac:dyDescent="0.15">
      <c r="B1765" s="2"/>
      <c r="AO1765" s="2"/>
    </row>
    <row r="1766" spans="2:41" ht="13" x14ac:dyDescent="0.15">
      <c r="B1766" s="2"/>
      <c r="AO1766" s="2"/>
    </row>
    <row r="1767" spans="2:41" ht="13" x14ac:dyDescent="0.15">
      <c r="B1767" s="2"/>
      <c r="C1767" s="2"/>
      <c r="D1767" s="2"/>
      <c r="M1767" s="2"/>
      <c r="N1767" s="2"/>
      <c r="U1767" s="2"/>
      <c r="W1767" s="2"/>
      <c r="X1767" s="2"/>
      <c r="AE1767" s="2"/>
      <c r="AG1767" s="2"/>
      <c r="AO1767" s="2"/>
    </row>
    <row r="1768" spans="2:41" ht="13" x14ac:dyDescent="0.15">
      <c r="B1768" s="2"/>
      <c r="D1768" s="2"/>
      <c r="M1768" s="2"/>
      <c r="W1768" s="2"/>
      <c r="AO1768" s="2"/>
    </row>
    <row r="1769" spans="2:41" ht="13" x14ac:dyDescent="0.15">
      <c r="B1769" s="2"/>
      <c r="AO1769" s="2"/>
    </row>
    <row r="1770" spans="2:41" ht="13" x14ac:dyDescent="0.15">
      <c r="B1770" s="2"/>
      <c r="AO1770" s="2"/>
    </row>
    <row r="1771" spans="2:41" ht="13" x14ac:dyDescent="0.15">
      <c r="B1771" s="2"/>
      <c r="D1771" s="2"/>
      <c r="M1771" s="2"/>
      <c r="W1771" s="2"/>
      <c r="AO1771" s="2"/>
    </row>
    <row r="1772" spans="2:41" ht="13" x14ac:dyDescent="0.15">
      <c r="B1772" s="2"/>
      <c r="AO1772" s="2"/>
    </row>
    <row r="1773" spans="2:41" ht="13" x14ac:dyDescent="0.15">
      <c r="B1773" s="2"/>
      <c r="AO1773" s="2"/>
    </row>
    <row r="1774" spans="2:41" ht="13" x14ac:dyDescent="0.15">
      <c r="B1774" s="2"/>
      <c r="AO1774" s="2"/>
    </row>
    <row r="1775" spans="2:41" ht="13" x14ac:dyDescent="0.15">
      <c r="B1775" s="2"/>
      <c r="AO1775" s="2"/>
    </row>
    <row r="1776" spans="2:41" ht="13" x14ac:dyDescent="0.15">
      <c r="B1776" s="2"/>
      <c r="C1776" s="2"/>
      <c r="D1776" s="2"/>
      <c r="G1776" s="2"/>
      <c r="M1776" s="2"/>
      <c r="N1776" s="2"/>
      <c r="Q1776" s="2"/>
      <c r="S1776" s="2"/>
      <c r="U1776" s="2"/>
      <c r="W1776" s="2"/>
      <c r="X1776" s="2"/>
      <c r="AG1776" s="2"/>
      <c r="AO1776" s="2"/>
    </row>
    <row r="1777" spans="2:41" ht="13" x14ac:dyDescent="0.15">
      <c r="B1777" s="2"/>
      <c r="C1777" s="2"/>
      <c r="D1777" s="2"/>
      <c r="M1777" s="2"/>
      <c r="N1777" s="2"/>
      <c r="W1777" s="2"/>
      <c r="X1777" s="2"/>
      <c r="AG1777" s="2"/>
      <c r="AO1777" s="2"/>
    </row>
    <row r="1778" spans="2:41" ht="13" x14ac:dyDescent="0.15">
      <c r="B1778" s="2"/>
      <c r="AO1778" s="2"/>
    </row>
    <row r="1779" spans="2:41" ht="13" x14ac:dyDescent="0.15">
      <c r="B1779" s="2"/>
      <c r="AO1779" s="2"/>
    </row>
    <row r="1780" spans="2:41" ht="13" x14ac:dyDescent="0.15">
      <c r="B1780" s="2"/>
      <c r="AO1780" s="2"/>
    </row>
    <row r="1781" spans="2:41" ht="13" x14ac:dyDescent="0.15">
      <c r="B1781" s="2"/>
      <c r="AO1781" s="2"/>
    </row>
    <row r="1782" spans="2:41" ht="13" x14ac:dyDescent="0.15">
      <c r="B1782" s="2"/>
      <c r="AO1782" s="2"/>
    </row>
    <row r="1783" spans="2:41" ht="13" x14ac:dyDescent="0.15">
      <c r="B1783" s="2"/>
      <c r="AO1783" s="2"/>
    </row>
    <row r="1784" spans="2:41" ht="13" x14ac:dyDescent="0.15">
      <c r="B1784" s="2"/>
      <c r="AO1784" s="2"/>
    </row>
    <row r="1785" spans="2:41" ht="13" x14ac:dyDescent="0.15">
      <c r="B1785" s="2"/>
      <c r="AO1785" s="2"/>
    </row>
    <row r="1786" spans="2:41" ht="13" x14ac:dyDescent="0.15">
      <c r="B1786" s="2"/>
      <c r="AO1786" s="2"/>
    </row>
    <row r="1787" spans="2:41" ht="13" x14ac:dyDescent="0.15">
      <c r="B1787" s="2"/>
      <c r="C1787" s="2"/>
      <c r="D1787" s="2"/>
      <c r="F1787" s="2"/>
      <c r="G1787" s="2"/>
      <c r="I1787" s="2"/>
      <c r="M1787" s="2"/>
      <c r="N1787" s="2"/>
      <c r="Q1787" s="2"/>
      <c r="S1787" s="2"/>
      <c r="W1787" s="2"/>
      <c r="X1787" s="2"/>
      <c r="AG1787" s="2"/>
      <c r="AO1787" s="2"/>
    </row>
    <row r="1788" spans="2:41" ht="13" x14ac:dyDescent="0.15">
      <c r="B1788" s="2"/>
      <c r="C1788" s="2"/>
      <c r="D1788" s="2"/>
      <c r="G1788" s="2"/>
      <c r="M1788" s="2"/>
      <c r="N1788" s="2"/>
      <c r="Q1788" s="2"/>
      <c r="S1788" s="2"/>
      <c r="W1788" s="2"/>
      <c r="X1788" s="2"/>
      <c r="AO1788" s="2"/>
    </row>
    <row r="1789" spans="2:41" ht="13" x14ac:dyDescent="0.15">
      <c r="B1789" s="2"/>
      <c r="AO1789" s="2"/>
    </row>
    <row r="1790" spans="2:41" ht="13" x14ac:dyDescent="0.15">
      <c r="B1790" s="2"/>
      <c r="AO1790" s="2"/>
    </row>
    <row r="1791" spans="2:41" ht="13" x14ac:dyDescent="0.15">
      <c r="B1791" s="2"/>
      <c r="AO1791" s="2"/>
    </row>
    <row r="1792" spans="2:41" ht="13" x14ac:dyDescent="0.15">
      <c r="B1792" s="2"/>
      <c r="AO1792" s="2"/>
    </row>
    <row r="1793" spans="2:41" ht="13" x14ac:dyDescent="0.15">
      <c r="B1793" s="2"/>
      <c r="AO1793" s="2"/>
    </row>
    <row r="1794" spans="2:41" ht="13" x14ac:dyDescent="0.15">
      <c r="B1794" s="2"/>
      <c r="AO1794" s="2"/>
    </row>
    <row r="1795" spans="2:41" ht="13" x14ac:dyDescent="0.15">
      <c r="B1795" s="2"/>
      <c r="C1795" s="2"/>
      <c r="D1795" s="2"/>
      <c r="F1795" s="2"/>
      <c r="G1795" s="2"/>
      <c r="H1795" s="2"/>
      <c r="I1795" s="2"/>
      <c r="M1795" s="2"/>
      <c r="N1795" s="2"/>
      <c r="P1795" s="2"/>
      <c r="Q1795" s="2"/>
      <c r="R1795" s="2"/>
      <c r="S1795" s="2"/>
      <c r="U1795" s="2"/>
      <c r="W1795" s="2"/>
      <c r="X1795" s="2"/>
      <c r="Z1795" s="2"/>
      <c r="AA1795" s="2"/>
      <c r="AC1795" s="2"/>
      <c r="AG1795" s="2"/>
      <c r="AH1795" s="2"/>
      <c r="AO1795" s="2"/>
    </row>
    <row r="1796" spans="2:41" ht="13" x14ac:dyDescent="0.15">
      <c r="B1796" s="2"/>
      <c r="C1796" s="2"/>
      <c r="D1796" s="2"/>
      <c r="F1796" s="2"/>
      <c r="G1796" s="2"/>
      <c r="H1796" s="2"/>
      <c r="I1796" s="2"/>
      <c r="M1796" s="2"/>
      <c r="N1796" s="2"/>
      <c r="P1796" s="2"/>
      <c r="Q1796" s="2"/>
      <c r="R1796" s="2"/>
      <c r="S1796" s="2"/>
      <c r="W1796" s="2"/>
      <c r="X1796" s="2"/>
      <c r="AA1796" s="2"/>
      <c r="AC1796" s="2"/>
      <c r="AG1796" s="2"/>
      <c r="AO1796" s="2"/>
    </row>
    <row r="1797" spans="2:41" ht="13" x14ac:dyDescent="0.15">
      <c r="B1797" s="2"/>
      <c r="D1797" s="2"/>
      <c r="N1797" s="2"/>
      <c r="W1797" s="2"/>
      <c r="X1797" s="2"/>
      <c r="AO1797" s="2"/>
    </row>
    <row r="1798" spans="2:41" ht="13" x14ac:dyDescent="0.15">
      <c r="B1798" s="2"/>
      <c r="D1798" s="2"/>
      <c r="N1798" s="2"/>
      <c r="AO1798" s="2"/>
    </row>
    <row r="1799" spans="2:41" ht="13" x14ac:dyDescent="0.15">
      <c r="B1799" s="2"/>
      <c r="AO1799" s="2"/>
    </row>
    <row r="1800" spans="2:41" ht="13" x14ac:dyDescent="0.15">
      <c r="B1800" s="2"/>
      <c r="D1800" s="2"/>
      <c r="N1800" s="2"/>
      <c r="W1800" s="2"/>
      <c r="X1800" s="2"/>
      <c r="AO1800" s="2"/>
    </row>
    <row r="1801" spans="2:41" ht="13" x14ac:dyDescent="0.15">
      <c r="B1801" s="2"/>
      <c r="AO1801" s="2"/>
    </row>
    <row r="1802" spans="2:41" ht="13" x14ac:dyDescent="0.15">
      <c r="B1802" s="2"/>
      <c r="D1802" s="2"/>
      <c r="N1802" s="2"/>
      <c r="W1802" s="2"/>
      <c r="X1802" s="2"/>
      <c r="AO1802" s="2"/>
    </row>
    <row r="1803" spans="2:41" ht="13" x14ac:dyDescent="0.15">
      <c r="B1803" s="2"/>
      <c r="AO1803" s="2"/>
    </row>
    <row r="1804" spans="2:41" ht="13" x14ac:dyDescent="0.15">
      <c r="B1804" s="2"/>
      <c r="C1804" s="2"/>
      <c r="D1804" s="2"/>
      <c r="F1804" s="2"/>
      <c r="G1804" s="2"/>
      <c r="H1804" s="2"/>
      <c r="I1804" s="2"/>
      <c r="M1804" s="2"/>
      <c r="N1804" s="2"/>
      <c r="P1804" s="2"/>
      <c r="Q1804" s="2"/>
      <c r="S1804" s="2"/>
      <c r="W1804" s="2"/>
      <c r="X1804" s="2"/>
      <c r="AA1804" s="2"/>
      <c r="AC1804" s="2"/>
      <c r="AG1804" s="2"/>
      <c r="AO1804" s="2"/>
    </row>
    <row r="1805" spans="2:41" ht="13" x14ac:dyDescent="0.15">
      <c r="B1805" s="2"/>
      <c r="D1805" s="2"/>
      <c r="F1805" s="2"/>
      <c r="G1805" s="2"/>
      <c r="I1805" s="2"/>
      <c r="M1805" s="2"/>
      <c r="N1805" s="2"/>
      <c r="Q1805" s="2"/>
      <c r="S1805" s="2"/>
      <c r="W1805" s="2"/>
      <c r="X1805" s="2"/>
      <c r="AA1805" s="2"/>
      <c r="AC1805" s="2"/>
      <c r="AO1805" s="2"/>
    </row>
    <row r="1806" spans="2:41" ht="13" x14ac:dyDescent="0.15">
      <c r="B1806" s="2"/>
      <c r="AO1806" s="2"/>
    </row>
    <row r="1807" spans="2:41" ht="13" x14ac:dyDescent="0.15">
      <c r="B1807" s="2"/>
      <c r="AO1807" s="2"/>
    </row>
    <row r="1808" spans="2:41" ht="13" x14ac:dyDescent="0.15">
      <c r="B1808" s="2"/>
      <c r="AO1808" s="2"/>
    </row>
    <row r="1809" spans="2:41" ht="13" x14ac:dyDescent="0.15">
      <c r="B1809" s="2"/>
      <c r="AO1809" s="2"/>
    </row>
    <row r="1810" spans="2:41" ht="13" x14ac:dyDescent="0.15">
      <c r="B1810" s="2"/>
      <c r="N1810" s="2"/>
      <c r="AO1810" s="2"/>
    </row>
    <row r="1811" spans="2:41" ht="13" x14ac:dyDescent="0.15">
      <c r="B1811" s="2"/>
      <c r="C1811" s="2"/>
      <c r="D1811" s="2"/>
      <c r="G1811" s="2"/>
      <c r="M1811" s="2"/>
      <c r="N1811" s="2"/>
      <c r="Q1811" s="2"/>
      <c r="W1811" s="2"/>
      <c r="X1811" s="2"/>
      <c r="AO1811" s="2"/>
    </row>
    <row r="1812" spans="2:41" ht="13" x14ac:dyDescent="0.15">
      <c r="B1812" s="2"/>
      <c r="D1812" s="2"/>
      <c r="M1812" s="2"/>
      <c r="N1812" s="2"/>
      <c r="W1812" s="2"/>
      <c r="X1812" s="2"/>
      <c r="AO1812" s="2"/>
    </row>
    <row r="1813" spans="2:41" ht="13" x14ac:dyDescent="0.15">
      <c r="B1813" s="2"/>
      <c r="AO1813" s="2"/>
    </row>
    <row r="1814" spans="2:41" ht="13" x14ac:dyDescent="0.15">
      <c r="B1814" s="2"/>
      <c r="AO1814" s="2"/>
    </row>
    <row r="1815" spans="2:41" ht="13" x14ac:dyDescent="0.15">
      <c r="B1815" s="2"/>
      <c r="AO1815" s="2"/>
    </row>
    <row r="1816" spans="2:41" ht="13" x14ac:dyDescent="0.15">
      <c r="B1816" s="2"/>
      <c r="AO1816" s="2"/>
    </row>
    <row r="1817" spans="2:41" ht="13" x14ac:dyDescent="0.15">
      <c r="B1817" s="2"/>
      <c r="AO1817" s="2"/>
    </row>
    <row r="1818" spans="2:41" ht="13" x14ac:dyDescent="0.15">
      <c r="B1818" s="2"/>
      <c r="D1818" s="2"/>
      <c r="F1818" s="2"/>
      <c r="G1818" s="2"/>
      <c r="H1818" s="2"/>
      <c r="I1818" s="2"/>
      <c r="M1818" s="2"/>
      <c r="N1818" s="2"/>
      <c r="P1818" s="2"/>
      <c r="Q1818" s="2"/>
      <c r="R1818" s="2"/>
      <c r="S1818" s="2"/>
      <c r="T1818" s="2"/>
      <c r="U1818" s="2"/>
      <c r="W1818" s="2"/>
      <c r="X1818" s="2"/>
      <c r="AA1818" s="2"/>
      <c r="AC1818" s="2"/>
      <c r="AD1818" s="2"/>
      <c r="AE1818" s="2"/>
      <c r="AG1818" s="2"/>
      <c r="AH1818" s="2"/>
      <c r="AO1818" s="2"/>
    </row>
    <row r="1819" spans="2:41" ht="13" x14ac:dyDescent="0.15">
      <c r="B1819" s="2"/>
      <c r="D1819" s="2"/>
      <c r="G1819" s="2"/>
      <c r="H1819" s="2"/>
      <c r="I1819" s="2"/>
      <c r="M1819" s="2"/>
      <c r="N1819" s="2"/>
      <c r="P1819" s="2"/>
      <c r="Q1819" s="2"/>
      <c r="R1819" s="2"/>
      <c r="S1819" s="2"/>
      <c r="T1819" s="2"/>
      <c r="W1819" s="2"/>
      <c r="X1819" s="2"/>
      <c r="AA1819" s="2"/>
      <c r="AC1819" s="2"/>
      <c r="AD1819" s="2"/>
      <c r="AG1819" s="2"/>
      <c r="AO1819" s="2"/>
    </row>
    <row r="1820" spans="2:41" ht="13" x14ac:dyDescent="0.15">
      <c r="B1820" s="2"/>
      <c r="D1820" s="2"/>
      <c r="N1820" s="2"/>
      <c r="W1820" s="2"/>
      <c r="X1820" s="2"/>
      <c r="AO1820" s="2"/>
    </row>
    <row r="1821" spans="2:41" ht="13" x14ac:dyDescent="0.15">
      <c r="B1821" s="2"/>
      <c r="AO1821" s="2"/>
    </row>
    <row r="1822" spans="2:41" ht="13" x14ac:dyDescent="0.15">
      <c r="B1822" s="2"/>
      <c r="AO1822" s="2"/>
    </row>
    <row r="1823" spans="2:41" ht="13" x14ac:dyDescent="0.15">
      <c r="B1823" s="2"/>
      <c r="AO1823" s="2"/>
    </row>
    <row r="1824" spans="2:41" ht="13" x14ac:dyDescent="0.15">
      <c r="B1824" s="2"/>
      <c r="AO1824" s="2"/>
    </row>
    <row r="1825" spans="2:41" ht="13" x14ac:dyDescent="0.15">
      <c r="B1825" s="2"/>
      <c r="AO1825" s="2"/>
    </row>
    <row r="1826" spans="2:41" ht="13" x14ac:dyDescent="0.15">
      <c r="B1826" s="2"/>
      <c r="AO1826" s="2"/>
    </row>
    <row r="1827" spans="2:41" ht="13" x14ac:dyDescent="0.15">
      <c r="B1827" s="2"/>
      <c r="AO1827" s="2"/>
    </row>
    <row r="1828" spans="2:41" ht="13" x14ac:dyDescent="0.15">
      <c r="B1828" s="2"/>
      <c r="AO1828" s="2"/>
    </row>
    <row r="1829" spans="2:41" ht="13" x14ac:dyDescent="0.15">
      <c r="B1829" s="2"/>
      <c r="AO1829" s="2"/>
    </row>
    <row r="1830" spans="2:41" ht="13" x14ac:dyDescent="0.15">
      <c r="B1830" s="2"/>
      <c r="AO1830" s="2"/>
    </row>
    <row r="1831" spans="2:41" ht="13" x14ac:dyDescent="0.15">
      <c r="B1831" s="2"/>
      <c r="AO1831" s="2"/>
    </row>
    <row r="1832" spans="2:41" ht="13" x14ac:dyDescent="0.15">
      <c r="B1832" s="2"/>
      <c r="AO1832" s="2"/>
    </row>
    <row r="1833" spans="2:41" ht="13" x14ac:dyDescent="0.15">
      <c r="B1833" s="2"/>
      <c r="AO1833" s="2"/>
    </row>
    <row r="1834" spans="2:41" ht="13" x14ac:dyDescent="0.15">
      <c r="B1834" s="2"/>
      <c r="D1834" s="2"/>
      <c r="M1834" s="2"/>
      <c r="N1834" s="2"/>
      <c r="Q1834" s="2"/>
      <c r="U1834" s="2"/>
      <c r="W1834" s="2"/>
      <c r="X1834" s="2"/>
      <c r="AE1834" s="2"/>
      <c r="AG1834" s="2"/>
      <c r="AO1834" s="2"/>
    </row>
    <row r="1835" spans="2:41" ht="13" x14ac:dyDescent="0.15">
      <c r="B1835" s="2"/>
      <c r="D1835" s="2"/>
      <c r="N1835" s="2"/>
      <c r="AO1835" s="2"/>
    </row>
    <row r="1836" spans="2:41" ht="13" x14ac:dyDescent="0.15">
      <c r="B1836" s="2"/>
      <c r="AO1836" s="2"/>
    </row>
    <row r="1837" spans="2:41" ht="13" x14ac:dyDescent="0.15">
      <c r="B1837" s="2"/>
      <c r="AO1837" s="2"/>
    </row>
    <row r="1838" spans="2:41" ht="13" x14ac:dyDescent="0.15">
      <c r="B1838" s="2"/>
      <c r="AO1838" s="2"/>
    </row>
    <row r="1839" spans="2:41" ht="13" x14ac:dyDescent="0.15">
      <c r="B1839" s="2"/>
      <c r="AO1839" s="2"/>
    </row>
    <row r="1840" spans="2:41" ht="13" x14ac:dyDescent="0.15">
      <c r="B1840" s="2"/>
      <c r="AO1840" s="2"/>
    </row>
    <row r="1841" spans="2:41" ht="13" x14ac:dyDescent="0.15">
      <c r="B1841" s="2"/>
      <c r="AO1841" s="2"/>
    </row>
    <row r="1842" spans="2:41" ht="13" x14ac:dyDescent="0.15">
      <c r="B1842" s="2"/>
      <c r="AO1842" s="2"/>
    </row>
    <row r="1843" spans="2:41" ht="13" x14ac:dyDescent="0.15">
      <c r="B1843" s="2"/>
      <c r="AO1843" s="2"/>
    </row>
    <row r="1844" spans="2:41" ht="13" x14ac:dyDescent="0.15">
      <c r="B1844" s="2"/>
      <c r="AO1844" s="2"/>
    </row>
    <row r="1845" spans="2:41" ht="13" x14ac:dyDescent="0.15">
      <c r="B1845" s="2"/>
      <c r="AO1845" s="2"/>
    </row>
    <row r="1846" spans="2:41" ht="13" x14ac:dyDescent="0.15">
      <c r="B1846" s="2"/>
      <c r="AO1846" s="2"/>
    </row>
    <row r="1847" spans="2:41" ht="13" x14ac:dyDescent="0.15">
      <c r="B1847" s="2"/>
      <c r="AO1847" s="2"/>
    </row>
    <row r="1848" spans="2:41" ht="13" x14ac:dyDescent="0.15">
      <c r="B1848" s="2"/>
      <c r="AO1848" s="2"/>
    </row>
    <row r="1849" spans="2:41" ht="13" x14ac:dyDescent="0.15">
      <c r="B1849" s="2"/>
      <c r="AO1849" s="2"/>
    </row>
    <row r="1850" spans="2:41" ht="13" x14ac:dyDescent="0.15">
      <c r="B1850" s="2"/>
      <c r="C1850" s="2"/>
      <c r="D1850" s="2"/>
      <c r="M1850" s="2"/>
      <c r="N1850" s="2"/>
      <c r="U1850" s="2"/>
      <c r="W1850" s="2"/>
      <c r="X1850" s="2"/>
      <c r="AO1850" s="2"/>
    </row>
    <row r="1851" spans="2:41" ht="13" x14ac:dyDescent="0.15">
      <c r="B1851" s="2"/>
      <c r="AO1851" s="2"/>
    </row>
    <row r="1852" spans="2:41" ht="13" x14ac:dyDescent="0.15">
      <c r="B1852" s="2"/>
      <c r="AO1852" s="2"/>
    </row>
    <row r="1853" spans="2:41" ht="13" x14ac:dyDescent="0.15">
      <c r="B1853" s="2"/>
      <c r="AO1853" s="2"/>
    </row>
    <row r="1854" spans="2:41" ht="13" x14ac:dyDescent="0.15">
      <c r="B1854" s="2"/>
      <c r="AO1854" s="2"/>
    </row>
    <row r="1855" spans="2:41" ht="13" x14ac:dyDescent="0.15">
      <c r="B1855" s="2"/>
      <c r="AO1855" s="2"/>
    </row>
    <row r="1856" spans="2:41" ht="13" x14ac:dyDescent="0.15">
      <c r="B1856" s="2"/>
      <c r="AO1856" s="2"/>
    </row>
    <row r="1857" spans="2:41" ht="13" x14ac:dyDescent="0.15">
      <c r="B1857" s="2"/>
      <c r="AO1857" s="2"/>
    </row>
    <row r="1858" spans="2:41" ht="13" x14ac:dyDescent="0.15">
      <c r="B1858" s="2"/>
      <c r="AO1858" s="2"/>
    </row>
    <row r="1859" spans="2:41" ht="13" x14ac:dyDescent="0.15">
      <c r="B1859" s="2"/>
      <c r="AO1859" s="2"/>
    </row>
    <row r="1860" spans="2:41" ht="13" x14ac:dyDescent="0.15">
      <c r="B1860" s="2"/>
      <c r="AO1860" s="2"/>
    </row>
    <row r="1861" spans="2:41" ht="13" x14ac:dyDescent="0.15">
      <c r="B1861" s="2"/>
      <c r="D1861" s="2"/>
      <c r="M1861" s="2"/>
      <c r="N1861" s="2"/>
      <c r="W1861" s="2"/>
      <c r="X1861" s="2"/>
      <c r="AG1861" s="2"/>
      <c r="AO1861" s="2"/>
    </row>
    <row r="1862" spans="2:41" ht="13" x14ac:dyDescent="0.15">
      <c r="B1862" s="2"/>
      <c r="N1862" s="2"/>
      <c r="AO1862" s="2"/>
    </row>
    <row r="1863" spans="2:41" ht="13" x14ac:dyDescent="0.15">
      <c r="B1863" s="2"/>
      <c r="N1863" s="2"/>
      <c r="AO1863" s="2"/>
    </row>
    <row r="1864" spans="2:41" ht="13" x14ac:dyDescent="0.15">
      <c r="B1864" s="2"/>
      <c r="AO1864" s="2"/>
    </row>
    <row r="1865" spans="2:41" ht="13" x14ac:dyDescent="0.15">
      <c r="B1865" s="2"/>
      <c r="AO1865" s="2"/>
    </row>
    <row r="1866" spans="2:41" ht="13" x14ac:dyDescent="0.15">
      <c r="B1866" s="2"/>
      <c r="AO1866" s="2"/>
    </row>
    <row r="1867" spans="2:41" ht="13" x14ac:dyDescent="0.15">
      <c r="B1867" s="2"/>
      <c r="AO1867" s="2"/>
    </row>
    <row r="1868" spans="2:41" ht="13" x14ac:dyDescent="0.15">
      <c r="B1868" s="2"/>
      <c r="AO1868" s="2"/>
    </row>
    <row r="1869" spans="2:41" ht="13" x14ac:dyDescent="0.15">
      <c r="B1869" s="2"/>
      <c r="D1869" s="2"/>
      <c r="M1869" s="2"/>
      <c r="N1869" s="2"/>
      <c r="U1869" s="2"/>
      <c r="W1869" s="2"/>
      <c r="X1869" s="2"/>
      <c r="AE1869" s="2"/>
      <c r="AG1869" s="2"/>
      <c r="AO1869" s="2"/>
    </row>
    <row r="1870" spans="2:41" ht="13" x14ac:dyDescent="0.15">
      <c r="B1870" s="2"/>
      <c r="D1870" s="2"/>
      <c r="M1870" s="2"/>
      <c r="N1870" s="2"/>
      <c r="W1870" s="2"/>
      <c r="X1870" s="2"/>
      <c r="AO1870" s="2"/>
    </row>
    <row r="1871" spans="2:41" ht="13" x14ac:dyDescent="0.15">
      <c r="B1871" s="2"/>
      <c r="AO1871" s="2"/>
    </row>
    <row r="1872" spans="2:41" ht="13" x14ac:dyDescent="0.15">
      <c r="B1872" s="2"/>
      <c r="AO1872" s="2"/>
    </row>
    <row r="1873" spans="2:41" ht="13" x14ac:dyDescent="0.15">
      <c r="B1873" s="2"/>
      <c r="AO1873" s="2"/>
    </row>
    <row r="1874" spans="2:41" ht="13" x14ac:dyDescent="0.15">
      <c r="B1874" s="2"/>
      <c r="AO1874" s="2"/>
    </row>
    <row r="1875" spans="2:41" ht="13" x14ac:dyDescent="0.15">
      <c r="B1875" s="2"/>
      <c r="D1875" s="2"/>
      <c r="M1875" s="2"/>
      <c r="N1875" s="2"/>
      <c r="W1875" s="2"/>
      <c r="X1875" s="2"/>
      <c r="AE1875" s="2"/>
      <c r="AG1875" s="2"/>
      <c r="AO1875" s="2"/>
    </row>
    <row r="1876" spans="2:41" ht="13" x14ac:dyDescent="0.15">
      <c r="B1876" s="2"/>
      <c r="N1876" s="2"/>
      <c r="W1876" s="2"/>
      <c r="AO1876" s="2"/>
    </row>
    <row r="1877" spans="2:41" ht="13" x14ac:dyDescent="0.15">
      <c r="B1877" s="2"/>
      <c r="AO1877" s="2"/>
    </row>
    <row r="1878" spans="2:41" ht="13" x14ac:dyDescent="0.15">
      <c r="B1878" s="2"/>
      <c r="AO1878" s="2"/>
    </row>
    <row r="1879" spans="2:41" ht="13" x14ac:dyDescent="0.15">
      <c r="B1879" s="2"/>
      <c r="AO1879" s="2"/>
    </row>
    <row r="1880" spans="2:41" ht="13" x14ac:dyDescent="0.15">
      <c r="B1880" s="2"/>
      <c r="AO1880" s="2"/>
    </row>
    <row r="1881" spans="2:41" ht="13" x14ac:dyDescent="0.15">
      <c r="B1881" s="2"/>
      <c r="AO1881" s="2"/>
    </row>
    <row r="1882" spans="2:41" ht="13" x14ac:dyDescent="0.15">
      <c r="B1882" s="2"/>
      <c r="AO1882" s="2"/>
    </row>
    <row r="1883" spans="2:41" ht="13" x14ac:dyDescent="0.15">
      <c r="B1883" s="2"/>
      <c r="AO1883" s="2"/>
    </row>
    <row r="1884" spans="2:41" ht="13" x14ac:dyDescent="0.15">
      <c r="B1884" s="2"/>
      <c r="D1884" s="2"/>
      <c r="M1884" s="2"/>
      <c r="N1884" s="2"/>
      <c r="W1884" s="2"/>
      <c r="X1884" s="2"/>
      <c r="AG1884" s="2"/>
      <c r="AO1884" s="2"/>
    </row>
    <row r="1885" spans="2:41" ht="13" x14ac:dyDescent="0.15">
      <c r="B1885" s="2"/>
      <c r="AO1885" s="2"/>
    </row>
    <row r="1886" spans="2:41" ht="13" x14ac:dyDescent="0.15">
      <c r="B1886" s="2"/>
      <c r="AO1886" s="2"/>
    </row>
    <row r="1887" spans="2:41" ht="13" x14ac:dyDescent="0.15">
      <c r="B1887" s="2"/>
      <c r="AO1887" s="2"/>
    </row>
    <row r="1888" spans="2:41" ht="13" x14ac:dyDescent="0.15">
      <c r="B1888" s="2"/>
      <c r="AO1888" s="2"/>
    </row>
    <row r="1889" spans="2:41" ht="13" x14ac:dyDescent="0.15">
      <c r="B1889" s="2"/>
      <c r="AO1889" s="2"/>
    </row>
    <row r="1890" spans="2:41" ht="13" x14ac:dyDescent="0.15">
      <c r="B1890" s="2"/>
      <c r="AO1890" s="2"/>
    </row>
    <row r="1891" spans="2:41" ht="13" x14ac:dyDescent="0.15">
      <c r="B1891" s="2"/>
      <c r="AO1891" s="2"/>
    </row>
    <row r="1892" spans="2:41" ht="13" x14ac:dyDescent="0.15">
      <c r="B1892" s="2"/>
      <c r="AO1892" s="2"/>
    </row>
    <row r="1893" spans="2:41" ht="13" x14ac:dyDescent="0.15">
      <c r="B1893" s="2"/>
      <c r="AO1893" s="2"/>
    </row>
    <row r="1894" spans="2:41" ht="13" x14ac:dyDescent="0.15">
      <c r="B1894" s="2"/>
      <c r="AO1894" s="2"/>
    </row>
    <row r="1895" spans="2:41" ht="13" x14ac:dyDescent="0.15">
      <c r="B1895" s="2"/>
      <c r="D1895" s="2"/>
      <c r="M1895" s="2"/>
      <c r="N1895" s="2"/>
      <c r="Q1895" s="2"/>
      <c r="S1895" s="2"/>
      <c r="W1895" s="2"/>
      <c r="X1895" s="2"/>
      <c r="AO1895" s="2"/>
    </row>
    <row r="1896" spans="2:41" ht="13" x14ac:dyDescent="0.15">
      <c r="B1896" s="2"/>
      <c r="D1896" s="2"/>
      <c r="N1896" s="2"/>
      <c r="W1896" s="2"/>
      <c r="AO1896" s="2"/>
    </row>
    <row r="1897" spans="2:41" ht="13" x14ac:dyDescent="0.15">
      <c r="B1897" s="2"/>
      <c r="AO1897" s="2"/>
    </row>
    <row r="1898" spans="2:41" ht="13" x14ac:dyDescent="0.15">
      <c r="B1898" s="2"/>
      <c r="AO1898" s="2"/>
    </row>
    <row r="1899" spans="2:41" ht="13" x14ac:dyDescent="0.15">
      <c r="B1899" s="2"/>
      <c r="AO1899" s="2"/>
    </row>
    <row r="1900" spans="2:41" ht="13" x14ac:dyDescent="0.15">
      <c r="B1900" s="2"/>
      <c r="AO1900" s="2"/>
    </row>
    <row r="1901" spans="2:41" ht="13" x14ac:dyDescent="0.15">
      <c r="B1901" s="2"/>
      <c r="AO1901" s="2"/>
    </row>
    <row r="1902" spans="2:41" ht="13" x14ac:dyDescent="0.15">
      <c r="B1902" s="2"/>
      <c r="AO1902" s="2"/>
    </row>
    <row r="1903" spans="2:41" ht="13" x14ac:dyDescent="0.15">
      <c r="B1903" s="2"/>
      <c r="AO1903" s="2"/>
    </row>
    <row r="1904" spans="2:41" ht="13" x14ac:dyDescent="0.15">
      <c r="B1904" s="2"/>
      <c r="AO1904" s="2"/>
    </row>
    <row r="1905" spans="2:41" ht="13" x14ac:dyDescent="0.15">
      <c r="B1905" s="2"/>
      <c r="D1905" s="2"/>
      <c r="N1905" s="2"/>
      <c r="W1905" s="2"/>
      <c r="X1905" s="2"/>
      <c r="AO1905" s="2"/>
    </row>
    <row r="1906" spans="2:41" ht="13" x14ac:dyDescent="0.15">
      <c r="B1906" s="2"/>
      <c r="W1906" s="2"/>
      <c r="AO1906" s="2"/>
    </row>
    <row r="1907" spans="2:41" ht="13" x14ac:dyDescent="0.15">
      <c r="B1907" s="2"/>
      <c r="AO1907" s="2"/>
    </row>
    <row r="1908" spans="2:41" ht="13" x14ac:dyDescent="0.15">
      <c r="B1908" s="2"/>
      <c r="AO1908" s="2"/>
    </row>
    <row r="1909" spans="2:41" ht="13" x14ac:dyDescent="0.15">
      <c r="B1909" s="2"/>
      <c r="AO1909" s="2"/>
    </row>
    <row r="1910" spans="2:41" ht="13" x14ac:dyDescent="0.15">
      <c r="B1910" s="2"/>
      <c r="D1910" s="2"/>
      <c r="M1910" s="2"/>
      <c r="N1910" s="2"/>
      <c r="W1910" s="2"/>
      <c r="X1910" s="2"/>
      <c r="AO1910" s="2"/>
    </row>
    <row r="1911" spans="2:41" ht="13" x14ac:dyDescent="0.15">
      <c r="B1911" s="2"/>
      <c r="AO1911" s="2"/>
    </row>
    <row r="1912" spans="2:41" ht="13" x14ac:dyDescent="0.15">
      <c r="B1912" s="2"/>
      <c r="D1912" s="2"/>
      <c r="N1912" s="2"/>
      <c r="AO1912" s="2"/>
    </row>
    <row r="1913" spans="2:41" ht="13" x14ac:dyDescent="0.15">
      <c r="B1913" s="2"/>
      <c r="AO1913" s="2"/>
    </row>
    <row r="1914" spans="2:41" ht="13" x14ac:dyDescent="0.15">
      <c r="B1914" s="2"/>
      <c r="AO1914" s="2"/>
    </row>
    <row r="1915" spans="2:41" ht="13" x14ac:dyDescent="0.15">
      <c r="B1915" s="2"/>
      <c r="AO1915" s="2"/>
    </row>
    <row r="1916" spans="2:41" ht="13" x14ac:dyDescent="0.15">
      <c r="B1916" s="2"/>
      <c r="C1916" s="2"/>
      <c r="D1916" s="2"/>
      <c r="F1916" s="2"/>
      <c r="G1916" s="2"/>
      <c r="H1916" s="2"/>
      <c r="I1916" s="2"/>
      <c r="M1916" s="2"/>
      <c r="N1916" s="2"/>
      <c r="P1916" s="2"/>
      <c r="Q1916" s="2"/>
      <c r="R1916" s="2"/>
      <c r="S1916" s="2"/>
      <c r="T1916" s="2"/>
      <c r="W1916" s="2"/>
      <c r="X1916" s="2"/>
      <c r="Z1916" s="2"/>
      <c r="AA1916" s="2"/>
      <c r="AC1916" s="2"/>
      <c r="AD1916" s="2"/>
      <c r="AG1916" s="2"/>
      <c r="AH1916" s="2"/>
      <c r="AO1916" s="2"/>
    </row>
    <row r="1917" spans="2:41" ht="13" x14ac:dyDescent="0.15">
      <c r="B1917" s="2"/>
      <c r="D1917" s="2"/>
      <c r="F1917" s="2"/>
      <c r="G1917" s="2"/>
      <c r="H1917" s="2"/>
      <c r="I1917" s="2"/>
      <c r="M1917" s="2"/>
      <c r="N1917" s="2"/>
      <c r="P1917" s="2"/>
      <c r="Q1917" s="2"/>
      <c r="R1917" s="2"/>
      <c r="S1917" s="2"/>
      <c r="T1917" s="2"/>
      <c r="W1917" s="2"/>
      <c r="X1917" s="2"/>
      <c r="AA1917" s="2"/>
      <c r="AC1917" s="2"/>
      <c r="AD1917" s="2"/>
      <c r="AG1917" s="2"/>
      <c r="AO1917" s="2"/>
    </row>
    <row r="1918" spans="2:41" ht="13" x14ac:dyDescent="0.15">
      <c r="B1918" s="2"/>
      <c r="AO1918" s="2"/>
    </row>
    <row r="1919" spans="2:41" ht="13" x14ac:dyDescent="0.15">
      <c r="B1919" s="2"/>
      <c r="AO1919" s="2"/>
    </row>
    <row r="1920" spans="2:41" ht="13" x14ac:dyDescent="0.15">
      <c r="B1920" s="2"/>
      <c r="AO1920" s="2"/>
    </row>
    <row r="1921" spans="2:41" ht="13" x14ac:dyDescent="0.15">
      <c r="B1921" s="2"/>
      <c r="D1921" s="2"/>
      <c r="I1921" s="2"/>
      <c r="M1921" s="2"/>
      <c r="N1921" s="2"/>
      <c r="S1921" s="2"/>
      <c r="W1921" s="2"/>
      <c r="X1921" s="2"/>
      <c r="AO1921" s="2"/>
    </row>
    <row r="1922" spans="2:41" ht="13" x14ac:dyDescent="0.15">
      <c r="B1922" s="2"/>
      <c r="D1922" s="2"/>
      <c r="M1922" s="2"/>
      <c r="N1922" s="2"/>
      <c r="W1922" s="2"/>
      <c r="X1922" s="2"/>
      <c r="AG1922" s="2"/>
      <c r="AO1922" s="2"/>
    </row>
    <row r="1923" spans="2:41" ht="13" x14ac:dyDescent="0.15">
      <c r="B1923" s="2"/>
      <c r="AO1923" s="2"/>
    </row>
    <row r="1924" spans="2:41" ht="13" x14ac:dyDescent="0.15">
      <c r="B1924" s="2"/>
      <c r="AO1924" s="2"/>
    </row>
    <row r="1925" spans="2:41" ht="13" x14ac:dyDescent="0.15">
      <c r="B1925" s="2"/>
      <c r="AO1925" s="2"/>
    </row>
    <row r="1926" spans="2:41" ht="13" x14ac:dyDescent="0.15">
      <c r="B1926" s="2"/>
      <c r="AO1926" s="2"/>
    </row>
    <row r="1927" spans="2:41" ht="13" x14ac:dyDescent="0.15">
      <c r="B1927" s="2"/>
      <c r="AO1927" s="2"/>
    </row>
    <row r="1928" spans="2:41" ht="13" x14ac:dyDescent="0.15">
      <c r="B1928" s="2"/>
      <c r="AO1928" s="2"/>
    </row>
    <row r="1929" spans="2:41" ht="13" x14ac:dyDescent="0.15">
      <c r="B1929" s="2"/>
      <c r="AO1929" s="2"/>
    </row>
    <row r="1930" spans="2:41" ht="13" x14ac:dyDescent="0.15">
      <c r="B1930" s="2"/>
      <c r="AO1930" s="2"/>
    </row>
    <row r="1931" spans="2:41" ht="13" x14ac:dyDescent="0.15">
      <c r="B1931" s="2"/>
      <c r="AO1931" s="2"/>
    </row>
    <row r="1932" spans="2:41" ht="13" x14ac:dyDescent="0.15">
      <c r="B1932" s="2"/>
      <c r="D1932" s="2"/>
      <c r="N1932" s="2"/>
      <c r="AO1932" s="2"/>
    </row>
    <row r="1933" spans="2:41" ht="13" x14ac:dyDescent="0.15">
      <c r="B1933" s="2"/>
      <c r="D1933" s="2"/>
      <c r="N1933" s="2"/>
      <c r="W1933" s="2"/>
      <c r="X1933" s="2"/>
      <c r="AO1933" s="2"/>
    </row>
    <row r="1934" spans="2:41" ht="13" x14ac:dyDescent="0.15">
      <c r="B1934" s="2"/>
      <c r="D1934" s="2"/>
      <c r="N1934" s="2"/>
      <c r="W1934" s="2"/>
      <c r="AO1934" s="2"/>
    </row>
    <row r="1935" spans="2:41" ht="13" x14ac:dyDescent="0.15">
      <c r="B1935" s="2"/>
      <c r="AO1935" s="2"/>
    </row>
    <row r="1936" spans="2:41" ht="13" x14ac:dyDescent="0.15">
      <c r="B1936" s="2"/>
      <c r="AO1936" s="2"/>
    </row>
    <row r="1937" spans="2:41" ht="13" x14ac:dyDescent="0.15">
      <c r="B1937" s="2"/>
      <c r="AO1937" s="2"/>
    </row>
    <row r="1938" spans="2:41" ht="13" x14ac:dyDescent="0.15">
      <c r="B1938" s="2"/>
      <c r="AO1938" s="2"/>
    </row>
    <row r="1939" spans="2:41" ht="13" x14ac:dyDescent="0.15">
      <c r="B1939" s="2"/>
      <c r="AO1939" s="2"/>
    </row>
    <row r="1940" spans="2:41" ht="13" x14ac:dyDescent="0.15">
      <c r="B1940" s="2"/>
      <c r="AO1940" s="2"/>
    </row>
    <row r="1941" spans="2:41" ht="13" x14ac:dyDescent="0.15">
      <c r="B1941" s="2"/>
      <c r="C1941" s="2"/>
      <c r="D1941" s="2"/>
      <c r="G1941" s="2"/>
      <c r="I1941" s="2"/>
      <c r="M1941" s="2"/>
      <c r="N1941" s="2"/>
      <c r="Q1941" s="2"/>
      <c r="S1941" s="2"/>
      <c r="W1941" s="2"/>
      <c r="X1941" s="2"/>
      <c r="AA1941" s="2"/>
      <c r="AC1941" s="2"/>
      <c r="AG1941" s="2"/>
      <c r="AO1941" s="2"/>
    </row>
    <row r="1942" spans="2:41" ht="13" x14ac:dyDescent="0.15">
      <c r="B1942" s="2"/>
      <c r="C1942" s="2"/>
      <c r="D1942" s="2"/>
      <c r="G1942" s="2"/>
      <c r="I1942" s="2"/>
      <c r="M1942" s="2"/>
      <c r="N1942" s="2"/>
      <c r="Q1942" s="2"/>
      <c r="S1942" s="2"/>
      <c r="W1942" s="2"/>
      <c r="X1942" s="2"/>
      <c r="AA1942" s="2"/>
      <c r="AO1942" s="2"/>
    </row>
    <row r="1943" spans="2:41" ht="13" x14ac:dyDescent="0.15">
      <c r="B1943" s="2"/>
      <c r="AO1943" s="2"/>
    </row>
    <row r="1944" spans="2:41" ht="13" x14ac:dyDescent="0.15">
      <c r="B1944" s="2"/>
      <c r="AO1944" s="2"/>
    </row>
    <row r="1945" spans="2:41" ht="13" x14ac:dyDescent="0.15">
      <c r="B1945" s="2"/>
      <c r="M1945" s="2"/>
      <c r="W1945" s="2"/>
      <c r="AO1945" s="2"/>
    </row>
    <row r="1946" spans="2:41" ht="13" x14ac:dyDescent="0.15">
      <c r="B1946" s="2"/>
      <c r="D1946" s="2"/>
      <c r="M1946" s="2"/>
      <c r="W1946" s="2"/>
      <c r="AO1946" s="2"/>
    </row>
    <row r="1947" spans="2:41" ht="13" x14ac:dyDescent="0.15">
      <c r="B1947" s="2"/>
      <c r="AO1947" s="2"/>
    </row>
    <row r="1948" spans="2:41" ht="13" x14ac:dyDescent="0.15">
      <c r="B1948" s="2"/>
      <c r="C1948" s="2"/>
      <c r="D1948" s="2"/>
      <c r="M1948" s="2"/>
      <c r="N1948" s="2"/>
      <c r="W1948" s="2"/>
      <c r="X1948" s="2"/>
      <c r="AO1948" s="2"/>
    </row>
    <row r="1949" spans="2:41" ht="13" x14ac:dyDescent="0.15">
      <c r="B1949" s="2"/>
      <c r="D1949" s="2"/>
      <c r="AO1949" s="2"/>
    </row>
    <row r="1950" spans="2:41" ht="13" x14ac:dyDescent="0.15">
      <c r="B1950" s="2"/>
      <c r="AO1950" s="2"/>
    </row>
    <row r="1951" spans="2:41" ht="13" x14ac:dyDescent="0.15">
      <c r="B1951" s="2"/>
      <c r="M1951" s="2"/>
      <c r="AO1951" s="2"/>
    </row>
    <row r="1952" spans="2:41" ht="13" x14ac:dyDescent="0.15">
      <c r="B1952" s="2"/>
      <c r="AO1952" s="2"/>
    </row>
    <row r="1953" spans="2:41" ht="13" x14ac:dyDescent="0.15">
      <c r="B1953" s="2"/>
      <c r="AO1953" s="2"/>
    </row>
    <row r="1954" spans="2:41" ht="13" x14ac:dyDescent="0.15">
      <c r="B1954" s="2"/>
      <c r="AO1954" s="2"/>
    </row>
    <row r="1955" spans="2:41" ht="13" x14ac:dyDescent="0.15">
      <c r="B1955" s="2"/>
      <c r="C1955" s="2"/>
      <c r="D1955" s="2"/>
      <c r="M1955" s="2"/>
      <c r="N1955" s="2"/>
      <c r="W1955" s="2"/>
      <c r="AO1955" s="2"/>
    </row>
    <row r="1956" spans="2:41" ht="13" x14ac:dyDescent="0.15">
      <c r="B1956" s="2"/>
      <c r="M1956" s="2"/>
      <c r="W1956" s="2"/>
      <c r="AO1956" s="2"/>
    </row>
    <row r="1957" spans="2:41" ht="13" x14ac:dyDescent="0.15">
      <c r="B1957" s="2"/>
      <c r="AO1957" s="2"/>
    </row>
    <row r="1958" spans="2:41" ht="13" x14ac:dyDescent="0.15">
      <c r="B1958" s="2"/>
      <c r="AO1958" s="2"/>
    </row>
    <row r="1959" spans="2:41" ht="13" x14ac:dyDescent="0.15">
      <c r="B1959" s="2"/>
      <c r="AO1959" s="2"/>
    </row>
    <row r="1960" spans="2:41" ht="13" x14ac:dyDescent="0.15">
      <c r="B1960" s="2"/>
      <c r="AO1960" s="2"/>
    </row>
    <row r="1961" spans="2:41" ht="13" x14ac:dyDescent="0.15">
      <c r="B1961" s="2"/>
      <c r="M1961" s="2"/>
      <c r="N1961" s="2"/>
      <c r="W1961" s="2"/>
      <c r="AO1961" s="2"/>
    </row>
    <row r="1962" spans="2:41" ht="13" x14ac:dyDescent="0.15">
      <c r="B1962" s="2"/>
      <c r="AO1962" s="2"/>
    </row>
    <row r="1963" spans="2:41" ht="13" x14ac:dyDescent="0.15">
      <c r="B1963" s="2"/>
      <c r="AO1963" s="2"/>
    </row>
    <row r="1964" spans="2:41" ht="13" x14ac:dyDescent="0.15">
      <c r="B1964" s="2"/>
      <c r="AO1964" s="2"/>
    </row>
    <row r="1965" spans="2:41" ht="13" x14ac:dyDescent="0.15">
      <c r="B1965" s="2"/>
      <c r="AO1965" s="2"/>
    </row>
    <row r="1966" spans="2:41" ht="13" x14ac:dyDescent="0.15">
      <c r="B1966" s="2"/>
      <c r="AO1966" s="2"/>
    </row>
    <row r="1967" spans="2:41" ht="13" x14ac:dyDescent="0.15">
      <c r="B1967" s="2"/>
      <c r="AO1967" s="2"/>
    </row>
    <row r="1968" spans="2:41" ht="13" x14ac:dyDescent="0.15">
      <c r="B1968" s="2"/>
      <c r="C1968" s="2"/>
      <c r="D1968" s="2"/>
      <c r="M1968" s="2"/>
      <c r="N1968" s="2"/>
      <c r="W1968" s="2"/>
      <c r="X1968" s="2"/>
      <c r="AG1968" s="2"/>
      <c r="AO1968" s="2"/>
    </row>
    <row r="1969" spans="2:41" ht="13" x14ac:dyDescent="0.15">
      <c r="B1969" s="2"/>
      <c r="AO1969" s="2"/>
    </row>
    <row r="1970" spans="2:41" ht="13" x14ac:dyDescent="0.15">
      <c r="B1970" s="2"/>
      <c r="M1970" s="2"/>
      <c r="AO1970" s="2"/>
    </row>
    <row r="1971" spans="2:41" ht="13" x14ac:dyDescent="0.15">
      <c r="B1971" s="2"/>
      <c r="AO1971" s="2"/>
    </row>
    <row r="1972" spans="2:41" ht="13" x14ac:dyDescent="0.15">
      <c r="B1972" s="2"/>
      <c r="AO1972" s="2"/>
    </row>
    <row r="1973" spans="2:41" ht="13" x14ac:dyDescent="0.15">
      <c r="B1973" s="2"/>
      <c r="AO1973" s="2"/>
    </row>
    <row r="1974" spans="2:41" ht="13" x14ac:dyDescent="0.15">
      <c r="B1974" s="2"/>
      <c r="AO1974" s="2"/>
    </row>
    <row r="1975" spans="2:41" ht="13" x14ac:dyDescent="0.15">
      <c r="B1975" s="2"/>
      <c r="AO1975" s="2"/>
    </row>
    <row r="1976" spans="2:41" ht="13" x14ac:dyDescent="0.15">
      <c r="B1976" s="2"/>
      <c r="AO1976" s="2"/>
    </row>
    <row r="1977" spans="2:41" ht="13" x14ac:dyDescent="0.15">
      <c r="B1977" s="2"/>
      <c r="AO1977" s="2"/>
    </row>
    <row r="1978" spans="2:41" ht="13" x14ac:dyDescent="0.15">
      <c r="B1978" s="2"/>
      <c r="W1978" s="2"/>
      <c r="AO1978" s="2"/>
    </row>
    <row r="1979" spans="2:41" ht="13" x14ac:dyDescent="0.15">
      <c r="B1979" s="2"/>
      <c r="AO1979" s="2"/>
    </row>
    <row r="1980" spans="2:41" ht="13" x14ac:dyDescent="0.15">
      <c r="B1980" s="2"/>
      <c r="C1980" s="2"/>
      <c r="D1980" s="2"/>
      <c r="M1980" s="2"/>
      <c r="N1980" s="2"/>
      <c r="W1980" s="2"/>
      <c r="X1980" s="2"/>
      <c r="AO1980" s="2"/>
    </row>
    <row r="1981" spans="2:41" ht="13" x14ac:dyDescent="0.15">
      <c r="B1981" s="2"/>
      <c r="D1981" s="2"/>
      <c r="M1981" s="2"/>
      <c r="N1981" s="2"/>
      <c r="W1981" s="2"/>
      <c r="X1981" s="2"/>
      <c r="AO1981" s="2"/>
    </row>
    <row r="1982" spans="2:41" ht="13" x14ac:dyDescent="0.15">
      <c r="B1982" s="2"/>
      <c r="AO1982" s="2"/>
    </row>
    <row r="1983" spans="2:41" ht="13" x14ac:dyDescent="0.15">
      <c r="B1983" s="2"/>
      <c r="AO1983" s="2"/>
    </row>
    <row r="1984" spans="2:41" ht="13" x14ac:dyDescent="0.15">
      <c r="B1984" s="2"/>
      <c r="AO1984" s="2"/>
    </row>
    <row r="1985" spans="2:41" ht="13" x14ac:dyDescent="0.15">
      <c r="B1985" s="2"/>
      <c r="AO1985" s="2"/>
    </row>
    <row r="1986" spans="2:41" ht="13" x14ac:dyDescent="0.15">
      <c r="B1986" s="2"/>
      <c r="C1986" s="2"/>
      <c r="D1986" s="2"/>
      <c r="M1986" s="2"/>
      <c r="N1986" s="2"/>
      <c r="W1986" s="2"/>
      <c r="X1986" s="2"/>
      <c r="AO1986" s="2"/>
    </row>
    <row r="1987" spans="2:41" ht="13" x14ac:dyDescent="0.15">
      <c r="B1987" s="2"/>
      <c r="AO1987" s="2"/>
    </row>
    <row r="1988" spans="2:41" ht="13" x14ac:dyDescent="0.15">
      <c r="B1988" s="2"/>
      <c r="AO1988" s="2"/>
    </row>
    <row r="1989" spans="2:41" ht="13" x14ac:dyDescent="0.15">
      <c r="B1989" s="2"/>
      <c r="AO1989" s="2"/>
    </row>
    <row r="1990" spans="2:41" ht="13" x14ac:dyDescent="0.15">
      <c r="B1990" s="2"/>
      <c r="AO1990" s="2"/>
    </row>
    <row r="1991" spans="2:41" ht="13" x14ac:dyDescent="0.15">
      <c r="B1991" s="2"/>
      <c r="AO1991" s="2"/>
    </row>
    <row r="1992" spans="2:41" ht="13" x14ac:dyDescent="0.15">
      <c r="B1992" s="2"/>
      <c r="AO1992" s="2"/>
    </row>
    <row r="1993" spans="2:41" ht="13" x14ac:dyDescent="0.15">
      <c r="B1993" s="2"/>
      <c r="AO1993" s="2"/>
    </row>
    <row r="1994" spans="2:41" ht="13" x14ac:dyDescent="0.15">
      <c r="B1994" s="2"/>
      <c r="AO1994" s="2"/>
    </row>
    <row r="1995" spans="2:41" ht="13" x14ac:dyDescent="0.15">
      <c r="B1995" s="2"/>
      <c r="AO1995" s="2"/>
    </row>
    <row r="1996" spans="2:41" ht="13" x14ac:dyDescent="0.15">
      <c r="B1996" s="2"/>
      <c r="AO1996" s="2"/>
    </row>
    <row r="1997" spans="2:41" ht="13" x14ac:dyDescent="0.15">
      <c r="B1997" s="2"/>
      <c r="C1997" s="2"/>
      <c r="D1997" s="2"/>
      <c r="G1997" s="2"/>
      <c r="M1997" s="2"/>
      <c r="N1997" s="2"/>
      <c r="Q1997" s="2"/>
      <c r="S1997" s="2"/>
      <c r="W1997" s="2"/>
      <c r="X1997" s="2"/>
      <c r="AG1997" s="2"/>
      <c r="AO1997" s="2"/>
    </row>
    <row r="1998" spans="2:41" ht="13" x14ac:dyDescent="0.15">
      <c r="B1998" s="2"/>
      <c r="D1998" s="2"/>
      <c r="N1998" s="2"/>
      <c r="W1998" s="2"/>
      <c r="AO1998" s="2"/>
    </row>
    <row r="1999" spans="2:41" ht="13" x14ac:dyDescent="0.15">
      <c r="B1999" s="2"/>
      <c r="AO1999" s="2"/>
    </row>
    <row r="2000" spans="2:41" ht="13" x14ac:dyDescent="0.15">
      <c r="B2000" s="2"/>
      <c r="AO2000" s="2"/>
    </row>
    <row r="2001" spans="2:41" ht="13" x14ac:dyDescent="0.15">
      <c r="B2001" s="2"/>
      <c r="D2001" s="2"/>
      <c r="M2001" s="2"/>
      <c r="N2001" s="2"/>
      <c r="W2001" s="2"/>
      <c r="X2001" s="2"/>
      <c r="AO2001" s="2"/>
    </row>
    <row r="2002" spans="2:41" ht="13" x14ac:dyDescent="0.15">
      <c r="B2002" s="2"/>
      <c r="M2002" s="2"/>
      <c r="AO2002" s="2"/>
    </row>
    <row r="2003" spans="2:41" ht="13" x14ac:dyDescent="0.15">
      <c r="B2003" s="2"/>
      <c r="AO2003" s="2"/>
    </row>
    <row r="2004" spans="2:41" ht="13" x14ac:dyDescent="0.15">
      <c r="B2004" s="2"/>
      <c r="AO2004" s="2"/>
    </row>
    <row r="2005" spans="2:41" ht="13" x14ac:dyDescent="0.15">
      <c r="B2005" s="2"/>
      <c r="AO2005" s="2"/>
    </row>
    <row r="2006" spans="2:41" ht="13" x14ac:dyDescent="0.15">
      <c r="B2006" s="2"/>
      <c r="AO2006" s="2"/>
    </row>
    <row r="2007" spans="2:41" ht="13" x14ac:dyDescent="0.15">
      <c r="B2007" s="2"/>
      <c r="C2007" s="2"/>
      <c r="D2007" s="2"/>
      <c r="F2007" s="2"/>
      <c r="G2007" s="2"/>
      <c r="H2007" s="2"/>
      <c r="I2007" s="2"/>
      <c r="M2007" s="2"/>
      <c r="N2007" s="2"/>
      <c r="P2007" s="2"/>
      <c r="Q2007" s="2"/>
      <c r="S2007" s="2"/>
      <c r="W2007" s="2"/>
      <c r="X2007" s="2"/>
      <c r="AA2007" s="2"/>
      <c r="AC2007" s="2"/>
      <c r="AG2007" s="2"/>
      <c r="AO2007" s="2"/>
    </row>
    <row r="2008" spans="2:41" ht="13" x14ac:dyDescent="0.15">
      <c r="B2008" s="2"/>
      <c r="D2008" s="2"/>
      <c r="G2008" s="2"/>
      <c r="H2008" s="2"/>
      <c r="I2008" s="2"/>
      <c r="M2008" s="2"/>
      <c r="N2008" s="2"/>
      <c r="Q2008" s="2"/>
      <c r="S2008" s="2"/>
      <c r="W2008" s="2"/>
      <c r="X2008" s="2"/>
      <c r="AA2008" s="2"/>
      <c r="AC2008" s="2"/>
      <c r="AO2008" s="2"/>
    </row>
    <row r="2009" spans="2:41" ht="13" x14ac:dyDescent="0.15">
      <c r="B2009" s="2"/>
      <c r="AO2009" s="2"/>
    </row>
    <row r="2010" spans="2:41" ht="13" x14ac:dyDescent="0.15">
      <c r="B2010" s="2"/>
      <c r="AO2010" s="2"/>
    </row>
    <row r="2011" spans="2:41" ht="13" x14ac:dyDescent="0.15">
      <c r="B2011" s="2"/>
      <c r="AO2011" s="2"/>
    </row>
    <row r="2012" spans="2:41" ht="13" x14ac:dyDescent="0.15">
      <c r="B2012" s="2"/>
      <c r="AO2012" s="2"/>
    </row>
    <row r="2013" spans="2:41" ht="13" x14ac:dyDescent="0.15">
      <c r="B2013" s="2"/>
      <c r="AO2013" s="2"/>
    </row>
    <row r="2014" spans="2:41" ht="13" x14ac:dyDescent="0.15">
      <c r="B2014" s="2"/>
      <c r="AO2014" s="2"/>
    </row>
    <row r="2015" spans="2:41" ht="13" x14ac:dyDescent="0.15">
      <c r="B2015" s="2"/>
      <c r="AO2015" s="2"/>
    </row>
    <row r="2016" spans="2:41" ht="13" x14ac:dyDescent="0.15">
      <c r="B2016" s="2"/>
      <c r="D2016" s="2"/>
      <c r="M2016" s="2"/>
      <c r="N2016" s="2"/>
      <c r="S2016" s="2"/>
      <c r="W2016" s="2"/>
      <c r="X2016" s="2"/>
      <c r="AO2016" s="2"/>
    </row>
    <row r="2017" spans="2:41" ht="13" x14ac:dyDescent="0.15">
      <c r="B2017" s="2"/>
      <c r="D2017" s="2"/>
      <c r="I2017" s="2"/>
      <c r="N2017" s="2"/>
      <c r="S2017" s="2"/>
      <c r="W2017" s="2"/>
      <c r="X2017" s="2"/>
      <c r="AO2017" s="2"/>
    </row>
    <row r="2018" spans="2:41" ht="13" x14ac:dyDescent="0.15">
      <c r="B2018" s="2"/>
      <c r="AO2018" s="2"/>
    </row>
    <row r="2019" spans="2:41" ht="13" x14ac:dyDescent="0.15">
      <c r="B2019" s="2"/>
      <c r="AO2019" s="2"/>
    </row>
    <row r="2020" spans="2:41" ht="13" x14ac:dyDescent="0.15">
      <c r="B2020" s="2"/>
      <c r="AO2020" s="2"/>
    </row>
    <row r="2021" spans="2:41" ht="13" x14ac:dyDescent="0.15">
      <c r="B2021" s="2"/>
      <c r="AO2021" s="2"/>
    </row>
    <row r="2022" spans="2:41" ht="13" x14ac:dyDescent="0.15">
      <c r="B2022" s="2"/>
      <c r="C2022" s="2"/>
      <c r="D2022" s="2"/>
      <c r="M2022" s="2"/>
      <c r="N2022" s="2"/>
      <c r="Q2022" s="2"/>
      <c r="W2022" s="2"/>
      <c r="X2022" s="2"/>
      <c r="AO2022" s="2"/>
    </row>
    <row r="2023" spans="2:41" ht="13" x14ac:dyDescent="0.15">
      <c r="B2023" s="2"/>
      <c r="D2023" s="2"/>
      <c r="N2023" s="2"/>
      <c r="W2023" s="2"/>
      <c r="X2023" s="2"/>
      <c r="AO2023" s="2"/>
    </row>
    <row r="2024" spans="2:41" ht="13" x14ac:dyDescent="0.15">
      <c r="B2024" s="2"/>
      <c r="AO2024" s="2"/>
    </row>
    <row r="2025" spans="2:41" ht="13" x14ac:dyDescent="0.15">
      <c r="B2025" s="2"/>
      <c r="AO2025" s="2"/>
    </row>
    <row r="2026" spans="2:41" ht="13" x14ac:dyDescent="0.15">
      <c r="B2026" s="2"/>
      <c r="AO2026" s="2"/>
    </row>
    <row r="2027" spans="2:41" ht="13" x14ac:dyDescent="0.15">
      <c r="B2027" s="2"/>
      <c r="D2027" s="2"/>
      <c r="N2027" s="2"/>
      <c r="W2027" s="2"/>
      <c r="AO2027" s="2"/>
    </row>
    <row r="2028" spans="2:41" ht="13" x14ac:dyDescent="0.15">
      <c r="B2028" s="2"/>
      <c r="D2028" s="2"/>
      <c r="F2028" s="2"/>
      <c r="G2028" s="2"/>
      <c r="H2028" s="2"/>
      <c r="I2028" s="2"/>
      <c r="M2028" s="2"/>
      <c r="N2028" s="2"/>
      <c r="P2028" s="2"/>
      <c r="Q2028" s="2"/>
      <c r="R2028" s="2"/>
      <c r="S2028" s="2"/>
      <c r="T2028" s="2"/>
      <c r="W2028" s="2"/>
      <c r="X2028" s="2"/>
      <c r="Z2028" s="2"/>
      <c r="AA2028" s="2"/>
      <c r="AB2028" s="2"/>
      <c r="AC2028" s="2"/>
      <c r="AD2028" s="2"/>
      <c r="AG2028" s="2"/>
      <c r="AH2028" s="2"/>
      <c r="AO2028" s="2"/>
    </row>
    <row r="2029" spans="2:41" ht="13" x14ac:dyDescent="0.15">
      <c r="B2029" s="2"/>
      <c r="D2029" s="2"/>
      <c r="G2029" s="2"/>
      <c r="H2029" s="2"/>
      <c r="I2029" s="2"/>
      <c r="N2029" s="2"/>
      <c r="Q2029" s="2"/>
      <c r="S2029" s="2"/>
      <c r="T2029" s="2"/>
      <c r="W2029" s="2"/>
      <c r="X2029" s="2"/>
      <c r="AA2029" s="2"/>
      <c r="AC2029" s="2"/>
      <c r="AD2029" s="2"/>
      <c r="AG2029" s="2"/>
      <c r="AO2029" s="2"/>
    </row>
    <row r="2030" spans="2:41" ht="13" x14ac:dyDescent="0.15">
      <c r="B2030" s="2"/>
      <c r="D2030" s="2"/>
      <c r="N2030" s="2"/>
      <c r="Q2030" s="2"/>
      <c r="S2030" s="2"/>
      <c r="W2030" s="2"/>
      <c r="X2030" s="2"/>
      <c r="AO2030" s="2"/>
    </row>
    <row r="2031" spans="2:41" ht="13" x14ac:dyDescent="0.15">
      <c r="B2031" s="2"/>
      <c r="AO2031" s="2"/>
    </row>
    <row r="2032" spans="2:41" ht="13" x14ac:dyDescent="0.15">
      <c r="B2032" s="2"/>
      <c r="D2032" s="2"/>
      <c r="N2032" s="2"/>
      <c r="W2032" s="2"/>
      <c r="X2032" s="2"/>
      <c r="AO2032" s="2"/>
    </row>
    <row r="2033" spans="2:41" ht="13" x14ac:dyDescent="0.15">
      <c r="B2033" s="2"/>
      <c r="AO2033" s="2"/>
    </row>
    <row r="2034" spans="2:41" ht="13" x14ac:dyDescent="0.15">
      <c r="B2034" s="2"/>
      <c r="AO2034" s="2"/>
    </row>
    <row r="2035" spans="2:41" ht="13" x14ac:dyDescent="0.15">
      <c r="B2035" s="2"/>
      <c r="AO2035" s="2"/>
    </row>
    <row r="2036" spans="2:41" ht="13" x14ac:dyDescent="0.15">
      <c r="B2036" s="2"/>
      <c r="N2036" s="2"/>
      <c r="X2036" s="2"/>
      <c r="AO2036" s="2"/>
    </row>
    <row r="2037" spans="2:41" ht="13" x14ac:dyDescent="0.15">
      <c r="B2037" s="2"/>
      <c r="AO2037" s="2"/>
    </row>
    <row r="2038" spans="2:41" ht="13" x14ac:dyDescent="0.15">
      <c r="B2038" s="2"/>
      <c r="D2038" s="2"/>
      <c r="F2038" s="2"/>
      <c r="G2038" s="2"/>
      <c r="H2038" s="2"/>
      <c r="I2038" s="2"/>
      <c r="M2038" s="2"/>
      <c r="N2038" s="2"/>
      <c r="P2038" s="2"/>
      <c r="Q2038" s="2"/>
      <c r="S2038" s="2"/>
      <c r="W2038" s="2"/>
      <c r="X2038" s="2"/>
      <c r="AA2038" s="2"/>
      <c r="AC2038" s="2"/>
      <c r="AO2038" s="2"/>
    </row>
    <row r="2039" spans="2:41" ht="13" x14ac:dyDescent="0.15">
      <c r="B2039" s="2"/>
      <c r="AO2039" s="2"/>
    </row>
    <row r="2040" spans="2:41" ht="13" x14ac:dyDescent="0.15">
      <c r="B2040" s="2"/>
      <c r="AO2040" s="2"/>
    </row>
    <row r="2041" spans="2:41" ht="13" x14ac:dyDescent="0.15">
      <c r="B2041" s="2"/>
      <c r="AO2041" s="2"/>
    </row>
    <row r="2042" spans="2:41" ht="13" x14ac:dyDescent="0.15">
      <c r="B2042" s="2"/>
      <c r="AO2042" s="2"/>
    </row>
    <row r="2043" spans="2:41" ht="13" x14ac:dyDescent="0.15">
      <c r="B2043" s="2"/>
      <c r="AO2043" s="2"/>
    </row>
    <row r="2044" spans="2:41" ht="13" x14ac:dyDescent="0.15">
      <c r="B2044" s="2"/>
      <c r="AO2044" s="2"/>
    </row>
    <row r="2045" spans="2:41" ht="13" x14ac:dyDescent="0.15">
      <c r="B2045" s="2"/>
      <c r="AO2045" s="2"/>
    </row>
    <row r="2046" spans="2:41" ht="13" x14ac:dyDescent="0.15">
      <c r="B2046" s="2"/>
      <c r="AO2046" s="2"/>
    </row>
    <row r="2047" spans="2:41" ht="13" x14ac:dyDescent="0.15">
      <c r="B2047" s="2"/>
      <c r="AO2047" s="2"/>
    </row>
    <row r="2048" spans="2:41" ht="13" x14ac:dyDescent="0.15">
      <c r="B2048" s="2"/>
      <c r="AO2048" s="2"/>
    </row>
    <row r="2049" spans="2:41" ht="13" x14ac:dyDescent="0.15">
      <c r="B2049" s="2"/>
      <c r="AO2049" s="2"/>
    </row>
    <row r="2050" spans="2:41" ht="13" x14ac:dyDescent="0.15">
      <c r="B2050" s="2"/>
      <c r="AO2050" s="2"/>
    </row>
    <row r="2051" spans="2:41" ht="13" x14ac:dyDescent="0.15">
      <c r="B2051" s="2"/>
      <c r="AO2051" s="2"/>
    </row>
    <row r="2052" spans="2:41" ht="13" x14ac:dyDescent="0.15">
      <c r="B2052" s="2"/>
      <c r="AO2052" s="2"/>
    </row>
    <row r="2053" spans="2:41" ht="13" x14ac:dyDescent="0.15">
      <c r="B2053" s="2"/>
      <c r="AO2053" s="2"/>
    </row>
    <row r="2054" spans="2:41" ht="13" x14ac:dyDescent="0.15">
      <c r="B2054" s="2"/>
      <c r="AO2054" s="2"/>
    </row>
    <row r="2055" spans="2:41" ht="13" x14ac:dyDescent="0.15">
      <c r="B2055" s="2"/>
      <c r="AO2055" s="2"/>
    </row>
    <row r="2056" spans="2:41" ht="13" x14ac:dyDescent="0.15">
      <c r="B2056" s="2"/>
      <c r="AO2056" s="2"/>
    </row>
    <row r="2057" spans="2:41" ht="13" x14ac:dyDescent="0.15">
      <c r="B2057" s="2"/>
      <c r="AO2057" s="2"/>
    </row>
    <row r="2058" spans="2:41" ht="13" x14ac:dyDescent="0.15">
      <c r="B2058" s="2"/>
      <c r="AO2058" s="2"/>
    </row>
    <row r="2059" spans="2:41" ht="13" x14ac:dyDescent="0.15">
      <c r="B2059" s="2"/>
      <c r="AO2059" s="2"/>
    </row>
    <row r="2060" spans="2:41" ht="13" x14ac:dyDescent="0.15">
      <c r="B2060" s="2"/>
      <c r="D2060" s="2"/>
      <c r="F2060" s="2"/>
      <c r="G2060" s="2"/>
      <c r="H2060" s="2"/>
      <c r="I2060" s="2"/>
      <c r="M2060" s="2"/>
      <c r="N2060" s="2"/>
      <c r="P2060" s="2"/>
      <c r="Q2060" s="2"/>
      <c r="S2060" s="2"/>
      <c r="W2060" s="2"/>
      <c r="X2060" s="2"/>
      <c r="AA2060" s="2"/>
      <c r="AC2060" s="2"/>
      <c r="AG2060" s="2"/>
      <c r="AO2060" s="2"/>
    </row>
    <row r="2061" spans="2:41" ht="13" x14ac:dyDescent="0.15">
      <c r="B2061" s="2"/>
      <c r="D2061" s="2"/>
      <c r="G2061" s="2"/>
      <c r="H2061" s="2"/>
      <c r="I2061" s="2"/>
      <c r="M2061" s="2"/>
      <c r="N2061" s="2"/>
      <c r="Q2061" s="2"/>
      <c r="S2061" s="2"/>
      <c r="W2061" s="2"/>
      <c r="X2061" s="2"/>
      <c r="AA2061" s="2"/>
      <c r="AC2061" s="2"/>
      <c r="AO2061" s="2"/>
    </row>
    <row r="2062" spans="2:41" ht="13" x14ac:dyDescent="0.15">
      <c r="B2062" s="2"/>
      <c r="D2062" s="2"/>
      <c r="N2062" s="2"/>
      <c r="X2062" s="2"/>
      <c r="AO2062" s="2"/>
    </row>
    <row r="2063" spans="2:41" ht="13" x14ac:dyDescent="0.15">
      <c r="B2063" s="2"/>
      <c r="AO2063" s="2"/>
    </row>
    <row r="2064" spans="2:41" ht="13" x14ac:dyDescent="0.15">
      <c r="B2064" s="2"/>
      <c r="AO2064" s="2"/>
    </row>
    <row r="2065" spans="2:41" ht="13" x14ac:dyDescent="0.15">
      <c r="B2065" s="2"/>
      <c r="AO2065" s="2"/>
    </row>
    <row r="2066" spans="2:41" ht="13" x14ac:dyDescent="0.15">
      <c r="B2066" s="2"/>
      <c r="AO2066" s="2"/>
    </row>
    <row r="2067" spans="2:41" ht="13" x14ac:dyDescent="0.15">
      <c r="B2067" s="2"/>
      <c r="D2067" s="2"/>
      <c r="N2067" s="2"/>
      <c r="AO2067" s="2"/>
    </row>
    <row r="2068" spans="2:41" ht="13" x14ac:dyDescent="0.15">
      <c r="B2068" s="2"/>
      <c r="AO2068" s="2"/>
    </row>
    <row r="2069" spans="2:41" ht="13" x14ac:dyDescent="0.15">
      <c r="B2069" s="2"/>
      <c r="AO2069" s="2"/>
    </row>
    <row r="2070" spans="2:41" ht="13" x14ac:dyDescent="0.15">
      <c r="B2070" s="2"/>
      <c r="AO2070" s="2"/>
    </row>
    <row r="2071" spans="2:41" ht="13" x14ac:dyDescent="0.15">
      <c r="B2071" s="2"/>
      <c r="D2071" s="2"/>
      <c r="M2071" s="2"/>
      <c r="N2071" s="2"/>
      <c r="W2071" s="2"/>
      <c r="X2071" s="2"/>
      <c r="AO2071" s="2"/>
    </row>
    <row r="2072" spans="2:41" ht="13" x14ac:dyDescent="0.15">
      <c r="B2072" s="2"/>
      <c r="D2072" s="2"/>
      <c r="N2072" s="2"/>
      <c r="X2072" s="2"/>
      <c r="AO2072" s="2"/>
    </row>
    <row r="2073" spans="2:41" ht="13" x14ac:dyDescent="0.15">
      <c r="B2073" s="2"/>
      <c r="D2073" s="2"/>
      <c r="N2073" s="2"/>
      <c r="AO2073" s="2"/>
    </row>
    <row r="2074" spans="2:41" ht="13" x14ac:dyDescent="0.15">
      <c r="B2074" s="2"/>
      <c r="AO2074" s="2"/>
    </row>
    <row r="2075" spans="2:41" ht="13" x14ac:dyDescent="0.15">
      <c r="B2075" s="2"/>
      <c r="AO2075" s="2"/>
    </row>
    <row r="2076" spans="2:41" ht="13" x14ac:dyDescent="0.15">
      <c r="B2076" s="2"/>
      <c r="C2076" s="2"/>
      <c r="D2076" s="2"/>
      <c r="F2076" s="2"/>
      <c r="G2076" s="2"/>
      <c r="H2076" s="2"/>
      <c r="I2076" s="2"/>
      <c r="M2076" s="2"/>
      <c r="N2076" s="2"/>
      <c r="P2076" s="2"/>
      <c r="Q2076" s="2"/>
      <c r="R2076" s="2"/>
      <c r="S2076" s="2"/>
      <c r="W2076" s="2"/>
      <c r="X2076" s="2"/>
      <c r="Z2076" s="2"/>
      <c r="AA2076" s="2"/>
      <c r="AC2076" s="2"/>
      <c r="AG2076" s="2"/>
      <c r="AH2076" s="2"/>
      <c r="AO2076" s="2"/>
    </row>
    <row r="2077" spans="2:41" ht="13" x14ac:dyDescent="0.15">
      <c r="B2077" s="2"/>
      <c r="C2077" s="2"/>
      <c r="D2077" s="2"/>
      <c r="F2077" s="2"/>
      <c r="G2077" s="2"/>
      <c r="H2077" s="2"/>
      <c r="I2077" s="2"/>
      <c r="M2077" s="2"/>
      <c r="N2077" s="2"/>
      <c r="P2077" s="2"/>
      <c r="Q2077" s="2"/>
      <c r="S2077" s="2"/>
      <c r="W2077" s="2"/>
      <c r="X2077" s="2"/>
      <c r="AA2077" s="2"/>
      <c r="AC2077" s="2"/>
      <c r="AG2077" s="2"/>
      <c r="AH2077" s="2"/>
      <c r="AO2077" s="2"/>
    </row>
    <row r="2078" spans="2:41" ht="13" x14ac:dyDescent="0.15">
      <c r="B2078" s="2"/>
      <c r="D2078" s="2"/>
      <c r="N2078" s="2"/>
      <c r="AO2078" s="2"/>
    </row>
    <row r="2079" spans="2:41" ht="13" x14ac:dyDescent="0.15">
      <c r="B2079" s="2"/>
      <c r="AO2079" s="2"/>
    </row>
    <row r="2080" spans="2:41" ht="13" x14ac:dyDescent="0.15">
      <c r="B2080" s="2"/>
      <c r="AO2080" s="2"/>
    </row>
    <row r="2081" spans="2:41" ht="13" x14ac:dyDescent="0.15">
      <c r="B2081" s="2"/>
      <c r="D2081" s="2"/>
      <c r="G2081" s="2"/>
      <c r="H2081" s="2"/>
      <c r="I2081" s="2"/>
      <c r="M2081" s="2"/>
      <c r="N2081" s="2"/>
      <c r="Q2081" s="2"/>
      <c r="S2081" s="2"/>
      <c r="W2081" s="2"/>
      <c r="X2081" s="2"/>
      <c r="AA2081" s="2"/>
      <c r="AC2081" s="2"/>
      <c r="AO2081" s="2"/>
    </row>
    <row r="2082" spans="2:41" ht="13" x14ac:dyDescent="0.15">
      <c r="B2082" s="2"/>
      <c r="AO2082" s="2"/>
    </row>
    <row r="2083" spans="2:41" ht="13" x14ac:dyDescent="0.15">
      <c r="B2083" s="2"/>
      <c r="D2083" s="2"/>
      <c r="M2083" s="2"/>
      <c r="N2083" s="2"/>
      <c r="Q2083" s="2"/>
      <c r="S2083" s="2"/>
      <c r="W2083" s="2"/>
      <c r="X2083" s="2"/>
      <c r="AO2083" s="2"/>
    </row>
    <row r="2084" spans="2:41" ht="13" x14ac:dyDescent="0.15">
      <c r="B2084" s="2"/>
      <c r="C2084" s="2"/>
      <c r="D2084" s="2"/>
      <c r="M2084" s="2"/>
      <c r="N2084" s="2"/>
      <c r="W2084" s="2"/>
      <c r="X2084" s="2"/>
      <c r="AO2084" s="2"/>
    </row>
    <row r="2085" spans="2:41" ht="13" x14ac:dyDescent="0.15">
      <c r="B2085" s="2"/>
      <c r="C2085" s="2"/>
      <c r="D2085" s="2"/>
      <c r="M2085" s="2"/>
      <c r="N2085" s="2"/>
      <c r="AO2085" s="2"/>
    </row>
    <row r="2086" spans="2:41" ht="13" x14ac:dyDescent="0.15">
      <c r="B2086" s="2"/>
      <c r="AO2086" s="2"/>
    </row>
    <row r="2087" spans="2:41" ht="13" x14ac:dyDescent="0.15">
      <c r="B2087" s="2"/>
      <c r="AO2087" s="2"/>
    </row>
    <row r="2088" spans="2:41" ht="13" x14ac:dyDescent="0.15">
      <c r="B2088" s="2"/>
      <c r="AO2088" s="2"/>
    </row>
    <row r="2089" spans="2:41" ht="13" x14ac:dyDescent="0.15">
      <c r="B2089" s="2"/>
      <c r="C2089" s="2"/>
      <c r="D2089" s="2"/>
      <c r="M2089" s="2"/>
      <c r="N2089" s="2"/>
      <c r="W2089" s="2"/>
      <c r="X2089" s="2"/>
      <c r="AO2089" s="2"/>
    </row>
    <row r="2090" spans="2:41" ht="13" x14ac:dyDescent="0.15">
      <c r="B2090" s="2"/>
      <c r="D2090" s="2"/>
      <c r="M2090" s="2"/>
      <c r="N2090" s="2"/>
      <c r="W2090" s="2"/>
      <c r="X2090" s="2"/>
      <c r="AO2090" s="2"/>
    </row>
    <row r="2091" spans="2:41" ht="13" x14ac:dyDescent="0.15">
      <c r="B2091" s="2"/>
      <c r="AO2091" s="2"/>
    </row>
    <row r="2092" spans="2:41" ht="13" x14ac:dyDescent="0.15">
      <c r="B2092" s="2"/>
      <c r="AO2092" s="2"/>
    </row>
    <row r="2093" spans="2:41" ht="13" x14ac:dyDescent="0.15">
      <c r="B2093" s="2"/>
      <c r="AO2093" s="2"/>
    </row>
    <row r="2094" spans="2:41" ht="13" x14ac:dyDescent="0.15">
      <c r="B2094" s="2"/>
      <c r="AO2094" s="2"/>
    </row>
    <row r="2095" spans="2:41" ht="13" x14ac:dyDescent="0.15">
      <c r="B2095" s="2"/>
      <c r="AO2095" s="2"/>
    </row>
    <row r="2096" spans="2:41" ht="13" x14ac:dyDescent="0.15">
      <c r="B2096" s="2"/>
      <c r="AO2096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097"/>
  <sheetViews>
    <sheetView workbookViewId="0"/>
  </sheetViews>
  <sheetFormatPr baseColWidth="10" defaultColWidth="12.6640625" defaultRowHeight="15.75" customHeight="1" x14ac:dyDescent="0.15"/>
  <sheetData>
    <row r="1" spans="1:4" ht="15.75" customHeight="1" x14ac:dyDescent="0.15">
      <c r="A1" s="1" t="s">
        <v>1</v>
      </c>
      <c r="B1" s="3" t="s">
        <v>30</v>
      </c>
      <c r="C1" s="3" t="s">
        <v>31</v>
      </c>
      <c r="D1" s="3" t="s">
        <v>32</v>
      </c>
    </row>
    <row r="2" spans="1:4" ht="15.75" customHeight="1" x14ac:dyDescent="0.15">
      <c r="A2" s="1">
        <v>10000</v>
      </c>
      <c r="B2" s="3">
        <v>417365</v>
      </c>
      <c r="C2" s="3">
        <v>205976</v>
      </c>
      <c r="D2" s="3">
        <v>211389</v>
      </c>
    </row>
    <row r="3" spans="1:4" ht="15.75" customHeight="1" x14ac:dyDescent="0.15">
      <c r="A3" s="1">
        <v>20000</v>
      </c>
      <c r="B3" s="3">
        <v>1139115</v>
      </c>
      <c r="C3" s="3">
        <v>806065</v>
      </c>
      <c r="D3" s="3">
        <v>333050</v>
      </c>
    </row>
    <row r="4" spans="1:4" ht="15.75" customHeight="1" x14ac:dyDescent="0.15">
      <c r="A4" s="1">
        <v>30000</v>
      </c>
      <c r="B4" s="3">
        <v>424259</v>
      </c>
      <c r="C4" s="3">
        <v>243354</v>
      </c>
      <c r="D4" s="3">
        <v>180905</v>
      </c>
    </row>
    <row r="5" spans="1:4" ht="15.75" customHeight="1" x14ac:dyDescent="0.15">
      <c r="A5" s="1">
        <v>40000</v>
      </c>
      <c r="B5" s="3">
        <v>1460433</v>
      </c>
      <c r="C5" s="3">
        <v>1383694</v>
      </c>
      <c r="D5" s="3">
        <v>76739</v>
      </c>
    </row>
    <row r="6" spans="1:4" ht="15.75" customHeight="1" x14ac:dyDescent="0.15">
      <c r="A6" s="1">
        <v>50000</v>
      </c>
      <c r="B6" s="3">
        <v>650940</v>
      </c>
      <c r="C6" s="3">
        <v>444473</v>
      </c>
      <c r="D6" s="3">
        <v>206467</v>
      </c>
    </row>
    <row r="7" spans="1:4" ht="15.75" customHeight="1" x14ac:dyDescent="0.15">
      <c r="A7" s="1">
        <v>60000</v>
      </c>
      <c r="B7" s="3">
        <v>1427527</v>
      </c>
      <c r="C7" s="3">
        <v>567141</v>
      </c>
      <c r="D7" s="3">
        <v>860386</v>
      </c>
    </row>
    <row r="8" spans="1:4" ht="15.75" customHeight="1" x14ac:dyDescent="0.15">
      <c r="A8" s="1">
        <v>70000</v>
      </c>
      <c r="B8" s="3">
        <v>1046953</v>
      </c>
      <c r="C8" s="3">
        <v>1046953</v>
      </c>
      <c r="D8" s="3">
        <v>0</v>
      </c>
    </row>
    <row r="9" spans="1:4" ht="15.75" customHeight="1" x14ac:dyDescent="0.15">
      <c r="A9" s="1">
        <v>80000</v>
      </c>
      <c r="B9" s="3">
        <v>1315220</v>
      </c>
      <c r="C9" s="3">
        <v>865771</v>
      </c>
      <c r="D9" s="3">
        <v>449449</v>
      </c>
    </row>
    <row r="10" spans="1:4" ht="15.75" customHeight="1" x14ac:dyDescent="0.15">
      <c r="A10" s="1">
        <v>90000</v>
      </c>
      <c r="B10" s="3">
        <v>367252</v>
      </c>
      <c r="C10" s="3">
        <v>166163</v>
      </c>
      <c r="D10" s="3">
        <v>201089</v>
      </c>
    </row>
    <row r="11" spans="1:4" ht="15.75" customHeight="1" x14ac:dyDescent="0.15">
      <c r="A11" s="1">
        <v>100000</v>
      </c>
      <c r="B11" s="3">
        <v>759962</v>
      </c>
      <c r="C11" s="3">
        <v>447620</v>
      </c>
      <c r="D11" s="3">
        <v>312342</v>
      </c>
    </row>
    <row r="12" spans="1:4" ht="15.75" customHeight="1" x14ac:dyDescent="0.15">
      <c r="A12" s="1">
        <v>110000</v>
      </c>
      <c r="B12" s="3">
        <v>893292</v>
      </c>
      <c r="C12" s="3">
        <v>831180</v>
      </c>
      <c r="D12" s="3">
        <v>62112</v>
      </c>
    </row>
    <row r="13" spans="1:4" ht="15.75" customHeight="1" x14ac:dyDescent="0.15">
      <c r="A13" s="1">
        <v>120000</v>
      </c>
      <c r="B13" s="3">
        <v>1316894</v>
      </c>
      <c r="C13" s="3">
        <v>993029</v>
      </c>
      <c r="D13" s="3">
        <v>323864</v>
      </c>
    </row>
    <row r="14" spans="1:4" ht="15.75" customHeight="1" x14ac:dyDescent="0.15">
      <c r="A14" s="1">
        <v>130000</v>
      </c>
      <c r="B14" s="3">
        <v>1888972</v>
      </c>
      <c r="C14" s="3">
        <v>1516546</v>
      </c>
      <c r="D14" s="3">
        <v>372426</v>
      </c>
    </row>
    <row r="15" spans="1:4" ht="15.75" customHeight="1" x14ac:dyDescent="0.15">
      <c r="A15" s="1">
        <v>140000</v>
      </c>
      <c r="B15" s="3">
        <v>1244821</v>
      </c>
      <c r="C15" s="3">
        <v>1006609</v>
      </c>
      <c r="D15" s="3">
        <v>238212</v>
      </c>
    </row>
    <row r="16" spans="1:4" ht="15.75" customHeight="1" x14ac:dyDescent="0.15">
      <c r="A16" s="1">
        <v>150000</v>
      </c>
      <c r="B16" s="3">
        <v>10135009</v>
      </c>
      <c r="C16" s="3">
        <v>10012201</v>
      </c>
      <c r="D16" s="3">
        <v>122808</v>
      </c>
    </row>
    <row r="17" spans="1:4" ht="15.75" customHeight="1" x14ac:dyDescent="0.15">
      <c r="A17" s="1">
        <v>160000</v>
      </c>
      <c r="B17" s="3">
        <v>981897</v>
      </c>
      <c r="C17" s="3">
        <v>695083</v>
      </c>
      <c r="D17" s="3">
        <v>286814</v>
      </c>
    </row>
    <row r="18" spans="1:4" ht="15.75" customHeight="1" x14ac:dyDescent="0.15">
      <c r="A18" s="1">
        <v>170000</v>
      </c>
      <c r="B18" s="3">
        <v>161204</v>
      </c>
      <c r="C18" s="3">
        <v>137927</v>
      </c>
      <c r="D18" s="3">
        <v>23277</v>
      </c>
    </row>
    <row r="19" spans="1:4" ht="15.75" customHeight="1" x14ac:dyDescent="0.15">
      <c r="A19" s="1">
        <v>180000</v>
      </c>
      <c r="B19" s="3">
        <v>182017</v>
      </c>
      <c r="C19" s="3">
        <v>167704</v>
      </c>
      <c r="D19" s="3">
        <v>14313</v>
      </c>
    </row>
    <row r="20" spans="1:4" ht="15.75" customHeight="1" x14ac:dyDescent="0.15">
      <c r="A20" s="1">
        <v>190000</v>
      </c>
      <c r="B20" s="3">
        <v>272136</v>
      </c>
      <c r="C20" s="3">
        <v>184423</v>
      </c>
      <c r="D20" s="3">
        <v>87713</v>
      </c>
    </row>
    <row r="21" spans="1:4" ht="15.75" customHeight="1" x14ac:dyDescent="0.15">
      <c r="A21" s="1">
        <v>200000</v>
      </c>
      <c r="B21" s="3">
        <v>1929970</v>
      </c>
      <c r="C21" s="3">
        <v>1535498</v>
      </c>
      <c r="D21" s="3">
        <v>394472</v>
      </c>
    </row>
    <row r="22" spans="1:4" ht="15.75" customHeight="1" x14ac:dyDescent="0.15">
      <c r="A22" s="1">
        <v>210000</v>
      </c>
      <c r="B22" s="3">
        <v>1226936</v>
      </c>
      <c r="C22" s="3">
        <v>714334</v>
      </c>
      <c r="D22" s="3">
        <v>512602</v>
      </c>
    </row>
    <row r="23" spans="1:4" ht="15.75" customHeight="1" x14ac:dyDescent="0.15">
      <c r="A23" s="1">
        <v>220000</v>
      </c>
      <c r="B23" s="3">
        <v>862459</v>
      </c>
      <c r="C23" s="3">
        <v>613683</v>
      </c>
      <c r="D23" s="3">
        <v>248776</v>
      </c>
    </row>
    <row r="24" spans="1:4" ht="15.75" customHeight="1" x14ac:dyDescent="0.15">
      <c r="A24" s="1">
        <v>230000</v>
      </c>
      <c r="B24" s="3">
        <v>349056</v>
      </c>
      <c r="C24" s="3">
        <v>329169</v>
      </c>
      <c r="D24" s="3">
        <v>19887</v>
      </c>
    </row>
    <row r="25" spans="1:4" ht="15.75" customHeight="1" x14ac:dyDescent="0.15">
      <c r="A25" s="1">
        <v>240000</v>
      </c>
      <c r="B25" s="3">
        <v>234698</v>
      </c>
      <c r="C25" s="3">
        <v>219639</v>
      </c>
      <c r="D25" s="3">
        <v>15059</v>
      </c>
    </row>
    <row r="26" spans="1:4" ht="15.75" customHeight="1" x14ac:dyDescent="0.15">
      <c r="A26" s="1">
        <v>250000</v>
      </c>
      <c r="B26" s="3">
        <v>548998</v>
      </c>
      <c r="C26" s="3">
        <v>444790</v>
      </c>
      <c r="D26" s="3">
        <v>104208</v>
      </c>
    </row>
    <row r="27" spans="1:4" ht="15.75" customHeight="1" x14ac:dyDescent="0.15">
      <c r="B27" s="3"/>
      <c r="C27" s="3"/>
      <c r="D27" s="3"/>
    </row>
    <row r="28" spans="1:4" ht="15.75" customHeight="1" x14ac:dyDescent="0.15">
      <c r="B28" s="3"/>
      <c r="C28" s="3"/>
      <c r="D28" s="3"/>
    </row>
    <row r="29" spans="1:4" ht="15.75" customHeight="1" x14ac:dyDescent="0.15">
      <c r="B29" s="3"/>
      <c r="C29" s="3"/>
      <c r="D29" s="3"/>
    </row>
    <row r="30" spans="1:4" ht="15.75" customHeight="1" x14ac:dyDescent="0.15">
      <c r="B30" s="3"/>
      <c r="C30" s="3"/>
      <c r="D30" s="3"/>
    </row>
    <row r="31" spans="1:4" ht="15.75" customHeight="1" x14ac:dyDescent="0.15">
      <c r="B31" s="3"/>
      <c r="C31" s="3"/>
      <c r="D31" s="3"/>
    </row>
    <row r="32" spans="1:4" ht="15.75" customHeight="1" x14ac:dyDescent="0.15">
      <c r="B32" s="3"/>
      <c r="C32" s="3"/>
      <c r="D32" s="3"/>
    </row>
    <row r="33" spans="2:4" ht="15.75" customHeight="1" x14ac:dyDescent="0.15">
      <c r="B33" s="3"/>
      <c r="C33" s="3"/>
      <c r="D33" s="3"/>
    </row>
    <row r="34" spans="2:4" ht="15.75" customHeight="1" x14ac:dyDescent="0.15">
      <c r="B34" s="3"/>
      <c r="C34" s="3"/>
      <c r="D34" s="3"/>
    </row>
    <row r="35" spans="2:4" ht="15.75" customHeight="1" x14ac:dyDescent="0.15">
      <c r="B35" s="3"/>
      <c r="C35" s="3"/>
      <c r="D35" s="3"/>
    </row>
    <row r="36" spans="2:4" ht="15.75" customHeight="1" x14ac:dyDescent="0.15">
      <c r="B36" s="3"/>
      <c r="C36" s="3"/>
      <c r="D36" s="3"/>
    </row>
    <row r="37" spans="2:4" ht="15.75" customHeight="1" x14ac:dyDescent="0.15">
      <c r="B37" s="3"/>
      <c r="C37" s="3"/>
      <c r="D37" s="3"/>
    </row>
    <row r="38" spans="2:4" ht="15.75" customHeight="1" x14ac:dyDescent="0.15">
      <c r="B38" s="3"/>
      <c r="C38" s="3"/>
      <c r="D38" s="3"/>
    </row>
    <row r="39" spans="2:4" ht="15.75" customHeight="1" x14ac:dyDescent="0.15">
      <c r="B39" s="3"/>
      <c r="C39" s="3"/>
      <c r="D39" s="3"/>
    </row>
    <row r="40" spans="2:4" ht="15.75" customHeight="1" x14ac:dyDescent="0.15">
      <c r="B40" s="3"/>
      <c r="C40" s="3"/>
      <c r="D40" s="3"/>
    </row>
    <row r="41" spans="2:4" ht="15.75" customHeight="1" x14ac:dyDescent="0.15">
      <c r="B41" s="3"/>
      <c r="C41" s="3"/>
      <c r="D41" s="3"/>
    </row>
    <row r="42" spans="2:4" ht="15.75" customHeight="1" x14ac:dyDescent="0.15">
      <c r="B42" s="3"/>
      <c r="C42" s="3"/>
      <c r="D42" s="3"/>
    </row>
    <row r="43" spans="2:4" ht="15.75" customHeight="1" x14ac:dyDescent="0.15">
      <c r="B43" s="3"/>
      <c r="C43" s="3"/>
      <c r="D43" s="3"/>
    </row>
    <row r="44" spans="2:4" ht="15.75" customHeight="1" x14ac:dyDescent="0.15">
      <c r="B44" s="3"/>
      <c r="C44" s="3"/>
      <c r="D44" s="3"/>
    </row>
    <row r="45" spans="2:4" ht="15.75" customHeight="1" x14ac:dyDescent="0.15">
      <c r="B45" s="3"/>
      <c r="C45" s="3"/>
      <c r="D45" s="3"/>
    </row>
    <row r="46" spans="2:4" ht="15.75" customHeight="1" x14ac:dyDescent="0.15">
      <c r="B46" s="3"/>
      <c r="C46" s="3"/>
      <c r="D46" s="3"/>
    </row>
    <row r="47" spans="2:4" ht="15.75" customHeight="1" x14ac:dyDescent="0.15">
      <c r="B47" s="3"/>
      <c r="C47" s="3"/>
      <c r="D47" s="3"/>
    </row>
    <row r="48" spans="2:4" ht="15.75" customHeight="1" x14ac:dyDescent="0.15">
      <c r="B48" s="3"/>
      <c r="C48" s="3"/>
      <c r="D48" s="3"/>
    </row>
    <row r="49" spans="2:4" ht="15.75" customHeight="1" x14ac:dyDescent="0.15">
      <c r="B49" s="3"/>
      <c r="C49" s="3"/>
      <c r="D49" s="3"/>
    </row>
    <row r="50" spans="2:4" ht="15.75" customHeight="1" x14ac:dyDescent="0.15">
      <c r="B50" s="3"/>
      <c r="C50" s="3"/>
      <c r="D50" s="3"/>
    </row>
    <row r="51" spans="2:4" ht="13" x14ac:dyDescent="0.15">
      <c r="B51" s="3"/>
      <c r="C51" s="3"/>
      <c r="D51" s="3"/>
    </row>
    <row r="52" spans="2:4" ht="13" x14ac:dyDescent="0.15">
      <c r="B52" s="3"/>
      <c r="C52" s="3"/>
      <c r="D52" s="3"/>
    </row>
    <row r="53" spans="2:4" ht="13" x14ac:dyDescent="0.15">
      <c r="B53" s="3"/>
      <c r="C53" s="3"/>
      <c r="D53" s="3"/>
    </row>
    <row r="54" spans="2:4" ht="13" x14ac:dyDescent="0.15">
      <c r="B54" s="3"/>
      <c r="C54" s="3"/>
      <c r="D54" s="3"/>
    </row>
    <row r="55" spans="2:4" ht="13" x14ac:dyDescent="0.15">
      <c r="B55" s="3"/>
      <c r="C55" s="3"/>
      <c r="D55" s="3"/>
    </row>
    <row r="56" spans="2:4" ht="13" x14ac:dyDescent="0.15">
      <c r="B56" s="3"/>
      <c r="C56" s="3"/>
      <c r="D56" s="3"/>
    </row>
    <row r="57" spans="2:4" ht="13" x14ac:dyDescent="0.15">
      <c r="B57" s="3"/>
      <c r="C57" s="3"/>
      <c r="D57" s="3"/>
    </row>
    <row r="58" spans="2:4" ht="13" x14ac:dyDescent="0.15">
      <c r="B58" s="3"/>
      <c r="C58" s="3"/>
      <c r="D58" s="3"/>
    </row>
    <row r="59" spans="2:4" ht="13" x14ac:dyDescent="0.15">
      <c r="B59" s="3"/>
      <c r="C59" s="3"/>
      <c r="D59" s="3"/>
    </row>
    <row r="60" spans="2:4" ht="13" x14ac:dyDescent="0.15">
      <c r="B60" s="3"/>
      <c r="C60" s="3"/>
      <c r="D60" s="3"/>
    </row>
    <row r="61" spans="2:4" ht="13" x14ac:dyDescent="0.15">
      <c r="B61" s="3"/>
      <c r="C61" s="3"/>
      <c r="D61" s="3"/>
    </row>
    <row r="62" spans="2:4" ht="13" x14ac:dyDescent="0.15">
      <c r="B62" s="3"/>
      <c r="C62" s="3"/>
      <c r="D62" s="3"/>
    </row>
    <row r="63" spans="2:4" ht="13" x14ac:dyDescent="0.15">
      <c r="B63" s="3"/>
      <c r="C63" s="3"/>
      <c r="D63" s="3"/>
    </row>
    <row r="64" spans="2:4" ht="13" x14ac:dyDescent="0.15">
      <c r="B64" s="3"/>
      <c r="C64" s="3"/>
      <c r="D64" s="3"/>
    </row>
    <row r="65" spans="2:4" ht="13" x14ac:dyDescent="0.15">
      <c r="B65" s="3"/>
      <c r="C65" s="3"/>
      <c r="D65" s="3"/>
    </row>
    <row r="66" spans="2:4" ht="13" x14ac:dyDescent="0.15">
      <c r="B66" s="3"/>
      <c r="C66" s="3"/>
      <c r="D66" s="3"/>
    </row>
    <row r="67" spans="2:4" ht="13" x14ac:dyDescent="0.15">
      <c r="B67" s="3"/>
      <c r="C67" s="3"/>
      <c r="D67" s="3"/>
    </row>
    <row r="68" spans="2:4" ht="13" x14ac:dyDescent="0.15">
      <c r="B68" s="3"/>
      <c r="C68" s="3"/>
      <c r="D68" s="3"/>
    </row>
    <row r="69" spans="2:4" ht="13" x14ac:dyDescent="0.15">
      <c r="B69" s="3"/>
      <c r="C69" s="3"/>
      <c r="D69" s="3"/>
    </row>
    <row r="70" spans="2:4" ht="13" x14ac:dyDescent="0.15">
      <c r="B70" s="3"/>
      <c r="C70" s="3"/>
      <c r="D70" s="3"/>
    </row>
    <row r="71" spans="2:4" ht="13" x14ac:dyDescent="0.15">
      <c r="B71" s="3"/>
      <c r="C71" s="3"/>
      <c r="D71" s="3"/>
    </row>
    <row r="72" spans="2:4" ht="13" x14ac:dyDescent="0.15">
      <c r="B72" s="3"/>
      <c r="C72" s="3"/>
      <c r="D72" s="3"/>
    </row>
    <row r="73" spans="2:4" ht="13" x14ac:dyDescent="0.15">
      <c r="B73" s="3"/>
      <c r="C73" s="3"/>
      <c r="D73" s="3"/>
    </row>
    <row r="74" spans="2:4" ht="13" x14ac:dyDescent="0.15">
      <c r="B74" s="3"/>
      <c r="C74" s="3"/>
      <c r="D74" s="3"/>
    </row>
    <row r="75" spans="2:4" ht="13" x14ac:dyDescent="0.15">
      <c r="B75" s="3"/>
      <c r="C75" s="3"/>
      <c r="D75" s="3"/>
    </row>
    <row r="76" spans="2:4" ht="13" x14ac:dyDescent="0.15">
      <c r="B76" s="3"/>
      <c r="C76" s="3"/>
      <c r="D76" s="3"/>
    </row>
    <row r="77" spans="2:4" ht="13" x14ac:dyDescent="0.15">
      <c r="B77" s="3"/>
      <c r="C77" s="3"/>
      <c r="D77" s="3"/>
    </row>
    <row r="78" spans="2:4" ht="13" x14ac:dyDescent="0.15">
      <c r="B78" s="3"/>
      <c r="C78" s="3"/>
      <c r="D78" s="3"/>
    </row>
    <row r="79" spans="2:4" ht="13" x14ac:dyDescent="0.15">
      <c r="B79" s="3"/>
      <c r="C79" s="3"/>
      <c r="D79" s="3"/>
    </row>
    <row r="80" spans="2:4" ht="13" x14ac:dyDescent="0.15">
      <c r="B80" s="3"/>
      <c r="C80" s="3"/>
      <c r="D80" s="3"/>
    </row>
    <row r="81" spans="2:4" ht="13" x14ac:dyDescent="0.15">
      <c r="B81" s="3"/>
      <c r="C81" s="3"/>
      <c r="D81" s="3"/>
    </row>
    <row r="82" spans="2:4" ht="13" x14ac:dyDescent="0.15">
      <c r="B82" s="3"/>
      <c r="C82" s="3"/>
      <c r="D82" s="3"/>
    </row>
    <row r="83" spans="2:4" ht="13" x14ac:dyDescent="0.15">
      <c r="B83" s="3"/>
      <c r="C83" s="3"/>
      <c r="D83" s="3"/>
    </row>
    <row r="84" spans="2:4" ht="13" x14ac:dyDescent="0.15">
      <c r="B84" s="3"/>
      <c r="C84" s="3"/>
      <c r="D84" s="3"/>
    </row>
    <row r="85" spans="2:4" ht="13" x14ac:dyDescent="0.15">
      <c r="B85" s="3"/>
      <c r="C85" s="3"/>
      <c r="D85" s="3"/>
    </row>
    <row r="86" spans="2:4" ht="13" x14ac:dyDescent="0.15">
      <c r="B86" s="3"/>
      <c r="C86" s="3"/>
      <c r="D86" s="3"/>
    </row>
    <row r="87" spans="2:4" ht="13" x14ac:dyDescent="0.15">
      <c r="B87" s="3"/>
      <c r="C87" s="3"/>
      <c r="D87" s="3"/>
    </row>
    <row r="88" spans="2:4" ht="13" x14ac:dyDescent="0.15">
      <c r="B88" s="3"/>
      <c r="C88" s="3"/>
      <c r="D88" s="3"/>
    </row>
    <row r="89" spans="2:4" ht="13" x14ac:dyDescent="0.15">
      <c r="B89" s="3"/>
      <c r="C89" s="3"/>
      <c r="D89" s="3"/>
    </row>
    <row r="90" spans="2:4" ht="13" x14ac:dyDescent="0.15">
      <c r="B90" s="3"/>
      <c r="C90" s="3"/>
      <c r="D90" s="3"/>
    </row>
    <row r="91" spans="2:4" ht="13" x14ac:dyDescent="0.15">
      <c r="B91" s="3"/>
      <c r="C91" s="3"/>
      <c r="D91" s="3"/>
    </row>
    <row r="92" spans="2:4" ht="13" x14ac:dyDescent="0.15">
      <c r="B92" s="3"/>
      <c r="C92" s="3"/>
      <c r="D92" s="3"/>
    </row>
    <row r="93" spans="2:4" ht="13" x14ac:dyDescent="0.15">
      <c r="B93" s="3"/>
      <c r="C93" s="3"/>
      <c r="D93" s="3"/>
    </row>
    <row r="94" spans="2:4" ht="13" x14ac:dyDescent="0.15">
      <c r="B94" s="3"/>
      <c r="C94" s="3"/>
      <c r="D94" s="3"/>
    </row>
    <row r="95" spans="2:4" ht="13" x14ac:dyDescent="0.15">
      <c r="B95" s="3"/>
      <c r="C95" s="3"/>
      <c r="D95" s="3"/>
    </row>
    <row r="96" spans="2:4" ht="13" x14ac:dyDescent="0.15">
      <c r="B96" s="3"/>
      <c r="C96" s="3"/>
      <c r="D96" s="3"/>
    </row>
    <row r="97" spans="2:4" ht="13" x14ac:dyDescent="0.15">
      <c r="B97" s="3"/>
      <c r="C97" s="3"/>
      <c r="D97" s="3"/>
    </row>
    <row r="98" spans="2:4" ht="13" x14ac:dyDescent="0.15">
      <c r="B98" s="3"/>
      <c r="C98" s="3"/>
      <c r="D98" s="3"/>
    </row>
    <row r="99" spans="2:4" ht="13" x14ac:dyDescent="0.15">
      <c r="B99" s="3"/>
      <c r="C99" s="3"/>
      <c r="D99" s="3"/>
    </row>
    <row r="100" spans="2:4" ht="13" x14ac:dyDescent="0.15">
      <c r="B100" s="3"/>
      <c r="C100" s="3"/>
      <c r="D100" s="3"/>
    </row>
    <row r="101" spans="2:4" ht="13" x14ac:dyDescent="0.15">
      <c r="B101" s="3"/>
      <c r="C101" s="3"/>
      <c r="D101" s="3"/>
    </row>
    <row r="102" spans="2:4" ht="13" x14ac:dyDescent="0.15">
      <c r="B102" s="3"/>
      <c r="C102" s="3"/>
      <c r="D102" s="3"/>
    </row>
    <row r="103" spans="2:4" ht="13" x14ac:dyDescent="0.15">
      <c r="B103" s="3"/>
      <c r="C103" s="3"/>
      <c r="D103" s="3"/>
    </row>
    <row r="104" spans="2:4" ht="13" x14ac:dyDescent="0.15">
      <c r="B104" s="3"/>
      <c r="C104" s="3"/>
      <c r="D104" s="3"/>
    </row>
    <row r="105" spans="2:4" ht="13" x14ac:dyDescent="0.15">
      <c r="B105" s="3"/>
      <c r="C105" s="3"/>
      <c r="D105" s="3"/>
    </row>
    <row r="106" spans="2:4" ht="13" x14ac:dyDescent="0.15">
      <c r="B106" s="3"/>
      <c r="C106" s="3"/>
      <c r="D106" s="3"/>
    </row>
    <row r="107" spans="2:4" ht="13" x14ac:dyDescent="0.15">
      <c r="B107" s="3"/>
      <c r="C107" s="3"/>
      <c r="D107" s="3"/>
    </row>
    <row r="108" spans="2:4" ht="13" x14ac:dyDescent="0.15">
      <c r="B108" s="3"/>
      <c r="C108" s="3"/>
      <c r="D108" s="3"/>
    </row>
    <row r="109" spans="2:4" ht="13" x14ac:dyDescent="0.15">
      <c r="B109" s="3"/>
      <c r="C109" s="3"/>
      <c r="D109" s="3"/>
    </row>
    <row r="110" spans="2:4" ht="13" x14ac:dyDescent="0.15">
      <c r="B110" s="3"/>
      <c r="C110" s="3"/>
      <c r="D110" s="3"/>
    </row>
    <row r="111" spans="2:4" ht="13" x14ac:dyDescent="0.15">
      <c r="B111" s="3"/>
      <c r="C111" s="3"/>
      <c r="D111" s="3"/>
    </row>
    <row r="112" spans="2:4" ht="13" x14ac:dyDescent="0.15">
      <c r="B112" s="3"/>
      <c r="C112" s="3"/>
      <c r="D112" s="3"/>
    </row>
    <row r="113" spans="2:4" ht="13" x14ac:dyDescent="0.15">
      <c r="B113" s="3"/>
      <c r="C113" s="3"/>
      <c r="D113" s="3"/>
    </row>
    <row r="114" spans="2:4" ht="13" x14ac:dyDescent="0.15">
      <c r="B114" s="3"/>
      <c r="C114" s="3"/>
      <c r="D114" s="3"/>
    </row>
    <row r="115" spans="2:4" ht="13" x14ac:dyDescent="0.15">
      <c r="B115" s="3"/>
      <c r="C115" s="3"/>
      <c r="D115" s="3"/>
    </row>
    <row r="116" spans="2:4" ht="13" x14ac:dyDescent="0.15">
      <c r="B116" s="3"/>
      <c r="C116" s="3"/>
      <c r="D116" s="3"/>
    </row>
    <row r="117" spans="2:4" ht="13" x14ac:dyDescent="0.15">
      <c r="B117" s="3"/>
      <c r="C117" s="3"/>
      <c r="D117" s="3"/>
    </row>
    <row r="118" spans="2:4" ht="13" x14ac:dyDescent="0.15">
      <c r="B118" s="3"/>
      <c r="C118" s="3"/>
      <c r="D118" s="3"/>
    </row>
    <row r="119" spans="2:4" ht="13" x14ac:dyDescent="0.15">
      <c r="B119" s="3"/>
      <c r="C119" s="3"/>
      <c r="D119" s="3"/>
    </row>
    <row r="120" spans="2:4" ht="13" x14ac:dyDescent="0.15">
      <c r="B120" s="3"/>
      <c r="C120" s="3"/>
      <c r="D120" s="3"/>
    </row>
    <row r="121" spans="2:4" ht="13" x14ac:dyDescent="0.15">
      <c r="B121" s="3"/>
      <c r="C121" s="3"/>
      <c r="D121" s="3"/>
    </row>
    <row r="122" spans="2:4" ht="13" x14ac:dyDescent="0.15">
      <c r="B122" s="3"/>
      <c r="C122" s="3"/>
      <c r="D122" s="3"/>
    </row>
    <row r="123" spans="2:4" ht="13" x14ac:dyDescent="0.15">
      <c r="B123" s="3"/>
      <c r="C123" s="3"/>
      <c r="D123" s="3"/>
    </row>
    <row r="124" spans="2:4" ht="13" x14ac:dyDescent="0.15">
      <c r="B124" s="3"/>
      <c r="C124" s="3"/>
      <c r="D124" s="3"/>
    </row>
    <row r="125" spans="2:4" ht="13" x14ac:dyDescent="0.15">
      <c r="B125" s="3"/>
      <c r="C125" s="3"/>
      <c r="D125" s="3"/>
    </row>
    <row r="126" spans="2:4" ht="13" x14ac:dyDescent="0.15">
      <c r="B126" s="3"/>
      <c r="C126" s="3"/>
      <c r="D126" s="3"/>
    </row>
    <row r="127" spans="2:4" ht="13" x14ac:dyDescent="0.15">
      <c r="B127" s="3"/>
      <c r="C127" s="3"/>
      <c r="D127" s="3"/>
    </row>
    <row r="128" spans="2:4" ht="13" x14ac:dyDescent="0.15">
      <c r="B128" s="3"/>
      <c r="C128" s="3"/>
      <c r="D128" s="3"/>
    </row>
    <row r="129" spans="2:4" ht="13" x14ac:dyDescent="0.15">
      <c r="B129" s="3"/>
      <c r="C129" s="3"/>
      <c r="D129" s="3"/>
    </row>
    <row r="130" spans="2:4" ht="13" x14ac:dyDescent="0.15">
      <c r="B130" s="3"/>
      <c r="C130" s="3"/>
      <c r="D130" s="3"/>
    </row>
    <row r="131" spans="2:4" ht="13" x14ac:dyDescent="0.15">
      <c r="B131" s="3"/>
      <c r="C131" s="3"/>
      <c r="D131" s="3"/>
    </row>
    <row r="132" spans="2:4" ht="13" x14ac:dyDescent="0.15">
      <c r="B132" s="3"/>
      <c r="C132" s="3"/>
      <c r="D132" s="3"/>
    </row>
    <row r="133" spans="2:4" ht="13" x14ac:dyDescent="0.15">
      <c r="B133" s="3"/>
      <c r="C133" s="3"/>
      <c r="D133" s="3"/>
    </row>
    <row r="134" spans="2:4" ht="13" x14ac:dyDescent="0.15">
      <c r="B134" s="3"/>
      <c r="C134" s="3"/>
      <c r="D134" s="3"/>
    </row>
    <row r="135" spans="2:4" ht="13" x14ac:dyDescent="0.15">
      <c r="B135" s="3"/>
      <c r="C135" s="3"/>
      <c r="D135" s="3"/>
    </row>
    <row r="136" spans="2:4" ht="13" x14ac:dyDescent="0.15">
      <c r="B136" s="3"/>
      <c r="C136" s="3"/>
      <c r="D136" s="3"/>
    </row>
    <row r="137" spans="2:4" ht="13" x14ac:dyDescent="0.15">
      <c r="B137" s="3"/>
      <c r="C137" s="3"/>
      <c r="D137" s="3"/>
    </row>
    <row r="138" spans="2:4" ht="13" x14ac:dyDescent="0.15">
      <c r="B138" s="3"/>
      <c r="C138" s="3"/>
      <c r="D138" s="3"/>
    </row>
    <row r="139" spans="2:4" ht="13" x14ac:dyDescent="0.15">
      <c r="B139" s="3"/>
      <c r="C139" s="3"/>
      <c r="D139" s="3"/>
    </row>
    <row r="140" spans="2:4" ht="13" x14ac:dyDescent="0.15">
      <c r="B140" s="3"/>
      <c r="C140" s="3"/>
      <c r="D140" s="3"/>
    </row>
    <row r="141" spans="2:4" ht="13" x14ac:dyDescent="0.15">
      <c r="B141" s="3"/>
      <c r="C141" s="3"/>
      <c r="D141" s="3"/>
    </row>
    <row r="142" spans="2:4" ht="13" x14ac:dyDescent="0.15">
      <c r="B142" s="3"/>
      <c r="C142" s="3"/>
      <c r="D142" s="3"/>
    </row>
    <row r="143" spans="2:4" ht="13" x14ac:dyDescent="0.15">
      <c r="B143" s="3"/>
      <c r="C143" s="3"/>
      <c r="D143" s="3"/>
    </row>
    <row r="144" spans="2:4" ht="13" x14ac:dyDescent="0.15">
      <c r="B144" s="3"/>
      <c r="C144" s="3"/>
      <c r="D144" s="3"/>
    </row>
    <row r="145" spans="2:4" ht="13" x14ac:dyDescent="0.15">
      <c r="B145" s="3"/>
      <c r="C145" s="3"/>
      <c r="D145" s="3"/>
    </row>
    <row r="146" spans="2:4" ht="13" x14ac:dyDescent="0.15">
      <c r="B146" s="3"/>
      <c r="C146" s="3"/>
      <c r="D146" s="3"/>
    </row>
    <row r="147" spans="2:4" ht="13" x14ac:dyDescent="0.15">
      <c r="B147" s="3"/>
      <c r="C147" s="3"/>
      <c r="D147" s="3"/>
    </row>
    <row r="148" spans="2:4" ht="13" x14ac:dyDescent="0.15">
      <c r="B148" s="3"/>
      <c r="C148" s="3"/>
      <c r="D148" s="3"/>
    </row>
    <row r="149" spans="2:4" ht="13" x14ac:dyDescent="0.15">
      <c r="B149" s="3"/>
      <c r="C149" s="3"/>
      <c r="D149" s="3"/>
    </row>
    <row r="150" spans="2:4" ht="13" x14ac:dyDescent="0.15">
      <c r="B150" s="3"/>
      <c r="C150" s="3"/>
      <c r="D150" s="3"/>
    </row>
    <row r="151" spans="2:4" ht="13" x14ac:dyDescent="0.15">
      <c r="B151" s="3"/>
      <c r="C151" s="3"/>
      <c r="D151" s="3"/>
    </row>
    <row r="152" spans="2:4" ht="13" x14ac:dyDescent="0.15">
      <c r="B152" s="3"/>
      <c r="C152" s="3"/>
      <c r="D152" s="3"/>
    </row>
    <row r="153" spans="2:4" ht="13" x14ac:dyDescent="0.15">
      <c r="B153" s="3"/>
      <c r="C153" s="3"/>
      <c r="D153" s="3"/>
    </row>
    <row r="154" spans="2:4" ht="13" x14ac:dyDescent="0.15">
      <c r="B154" s="3"/>
      <c r="C154" s="3"/>
      <c r="D154" s="3"/>
    </row>
    <row r="155" spans="2:4" ht="13" x14ac:dyDescent="0.15">
      <c r="B155" s="3"/>
      <c r="C155" s="3"/>
      <c r="D155" s="3"/>
    </row>
    <row r="156" spans="2:4" ht="13" x14ac:dyDescent="0.15">
      <c r="B156" s="3"/>
      <c r="C156" s="3"/>
      <c r="D156" s="3"/>
    </row>
    <row r="157" spans="2:4" ht="13" x14ac:dyDescent="0.15">
      <c r="B157" s="3"/>
      <c r="C157" s="3"/>
      <c r="D157" s="3"/>
    </row>
    <row r="158" spans="2:4" ht="13" x14ac:dyDescent="0.15">
      <c r="B158" s="3"/>
      <c r="C158" s="3"/>
      <c r="D158" s="3"/>
    </row>
    <row r="159" spans="2:4" ht="13" x14ac:dyDescent="0.15">
      <c r="B159" s="3"/>
      <c r="C159" s="3"/>
      <c r="D159" s="3"/>
    </row>
    <row r="160" spans="2:4" ht="13" x14ac:dyDescent="0.15">
      <c r="B160" s="3"/>
      <c r="C160" s="3"/>
      <c r="D160" s="3"/>
    </row>
    <row r="161" spans="2:4" ht="13" x14ac:dyDescent="0.15">
      <c r="B161" s="3"/>
      <c r="C161" s="3"/>
      <c r="D161" s="3"/>
    </row>
    <row r="162" spans="2:4" ht="13" x14ac:dyDescent="0.15">
      <c r="B162" s="3"/>
      <c r="C162" s="3"/>
      <c r="D162" s="3"/>
    </row>
    <row r="163" spans="2:4" ht="13" x14ac:dyDescent="0.15">
      <c r="B163" s="3"/>
      <c r="C163" s="3"/>
      <c r="D163" s="3"/>
    </row>
    <row r="164" spans="2:4" ht="13" x14ac:dyDescent="0.15">
      <c r="B164" s="3"/>
      <c r="C164" s="3"/>
      <c r="D164" s="3"/>
    </row>
    <row r="165" spans="2:4" ht="13" x14ac:dyDescent="0.15">
      <c r="B165" s="3"/>
      <c r="C165" s="3"/>
      <c r="D165" s="3"/>
    </row>
    <row r="166" spans="2:4" ht="13" x14ac:dyDescent="0.15">
      <c r="B166" s="3"/>
      <c r="C166" s="3"/>
      <c r="D166" s="3"/>
    </row>
    <row r="167" spans="2:4" ht="13" x14ac:dyDescent="0.15">
      <c r="B167" s="3"/>
      <c r="C167" s="3"/>
      <c r="D167" s="3"/>
    </row>
    <row r="168" spans="2:4" ht="13" x14ac:dyDescent="0.15">
      <c r="B168" s="3"/>
      <c r="C168" s="3"/>
      <c r="D168" s="3"/>
    </row>
    <row r="169" spans="2:4" ht="13" x14ac:dyDescent="0.15">
      <c r="B169" s="3"/>
      <c r="C169" s="3"/>
      <c r="D169" s="3"/>
    </row>
    <row r="170" spans="2:4" ht="13" x14ac:dyDescent="0.15">
      <c r="B170" s="3"/>
      <c r="C170" s="3"/>
      <c r="D170" s="3"/>
    </row>
    <row r="171" spans="2:4" ht="13" x14ac:dyDescent="0.15">
      <c r="B171" s="3"/>
      <c r="C171" s="3"/>
      <c r="D171" s="3"/>
    </row>
    <row r="172" spans="2:4" ht="13" x14ac:dyDescent="0.15">
      <c r="B172" s="3"/>
      <c r="C172" s="3"/>
      <c r="D172" s="3"/>
    </row>
    <row r="173" spans="2:4" ht="13" x14ac:dyDescent="0.15">
      <c r="B173" s="3"/>
      <c r="C173" s="3"/>
      <c r="D173" s="3"/>
    </row>
    <row r="174" spans="2:4" ht="13" x14ac:dyDescent="0.15">
      <c r="B174" s="3"/>
      <c r="C174" s="3"/>
      <c r="D174" s="3"/>
    </row>
    <row r="175" spans="2:4" ht="13" x14ac:dyDescent="0.15">
      <c r="B175" s="3"/>
      <c r="C175" s="3"/>
      <c r="D175" s="3"/>
    </row>
    <row r="176" spans="2:4" ht="13" x14ac:dyDescent="0.15">
      <c r="B176" s="3"/>
      <c r="C176" s="3"/>
      <c r="D176" s="3"/>
    </row>
    <row r="177" spans="2:4" ht="13" x14ac:dyDescent="0.15">
      <c r="B177" s="3"/>
      <c r="C177" s="3"/>
      <c r="D177" s="3"/>
    </row>
    <row r="178" spans="2:4" ht="13" x14ac:dyDescent="0.15">
      <c r="B178" s="3"/>
      <c r="C178" s="3"/>
      <c r="D178" s="3"/>
    </row>
    <row r="179" spans="2:4" ht="13" x14ac:dyDescent="0.15">
      <c r="B179" s="3"/>
      <c r="C179" s="3"/>
      <c r="D179" s="3"/>
    </row>
    <row r="180" spans="2:4" ht="13" x14ac:dyDescent="0.15">
      <c r="B180" s="3"/>
      <c r="C180" s="3"/>
      <c r="D180" s="3"/>
    </row>
    <row r="181" spans="2:4" ht="13" x14ac:dyDescent="0.15">
      <c r="B181" s="3"/>
      <c r="C181" s="3"/>
      <c r="D181" s="3"/>
    </row>
    <row r="182" spans="2:4" ht="13" x14ac:dyDescent="0.15">
      <c r="B182" s="3"/>
      <c r="C182" s="3"/>
      <c r="D182" s="3"/>
    </row>
    <row r="183" spans="2:4" ht="13" x14ac:dyDescent="0.15">
      <c r="B183" s="3"/>
      <c r="C183" s="3"/>
      <c r="D183" s="3"/>
    </row>
    <row r="184" spans="2:4" ht="13" x14ac:dyDescent="0.15">
      <c r="B184" s="3"/>
      <c r="C184" s="3"/>
      <c r="D184" s="3"/>
    </row>
    <row r="185" spans="2:4" ht="13" x14ac:dyDescent="0.15">
      <c r="B185" s="3"/>
      <c r="C185" s="3"/>
      <c r="D185" s="3"/>
    </row>
    <row r="186" spans="2:4" ht="13" x14ac:dyDescent="0.15">
      <c r="B186" s="3"/>
      <c r="C186" s="3"/>
      <c r="D186" s="3"/>
    </row>
    <row r="187" spans="2:4" ht="13" x14ac:dyDescent="0.15">
      <c r="B187" s="3"/>
      <c r="C187" s="3"/>
      <c r="D187" s="3"/>
    </row>
    <row r="188" spans="2:4" ht="13" x14ac:dyDescent="0.15">
      <c r="B188" s="3"/>
      <c r="C188" s="3"/>
      <c r="D188" s="3"/>
    </row>
    <row r="189" spans="2:4" ht="13" x14ac:dyDescent="0.15">
      <c r="B189" s="3"/>
      <c r="C189" s="3"/>
      <c r="D189" s="3"/>
    </row>
    <row r="190" spans="2:4" ht="13" x14ac:dyDescent="0.15">
      <c r="B190" s="3"/>
      <c r="C190" s="3"/>
      <c r="D190" s="3"/>
    </row>
    <row r="191" spans="2:4" ht="13" x14ac:dyDescent="0.15">
      <c r="B191" s="3"/>
      <c r="C191" s="3"/>
      <c r="D191" s="3"/>
    </row>
    <row r="192" spans="2:4" ht="13" x14ac:dyDescent="0.15">
      <c r="B192" s="3"/>
      <c r="C192" s="3"/>
      <c r="D192" s="3"/>
    </row>
    <row r="193" spans="2:4" ht="13" x14ac:dyDescent="0.15">
      <c r="B193" s="3"/>
      <c r="C193" s="3"/>
      <c r="D193" s="3"/>
    </row>
    <row r="194" spans="2:4" ht="13" x14ac:dyDescent="0.15">
      <c r="B194" s="3"/>
      <c r="C194" s="3"/>
      <c r="D194" s="3"/>
    </row>
    <row r="195" spans="2:4" ht="13" x14ac:dyDescent="0.15">
      <c r="B195" s="3"/>
      <c r="C195" s="3"/>
      <c r="D195" s="3"/>
    </row>
    <row r="196" spans="2:4" ht="13" x14ac:dyDescent="0.15">
      <c r="B196" s="3"/>
      <c r="C196" s="3"/>
      <c r="D196" s="3"/>
    </row>
    <row r="197" spans="2:4" ht="13" x14ac:dyDescent="0.15">
      <c r="B197" s="3"/>
      <c r="C197" s="3"/>
      <c r="D197" s="3"/>
    </row>
    <row r="198" spans="2:4" ht="13" x14ac:dyDescent="0.15">
      <c r="B198" s="3"/>
      <c r="C198" s="3"/>
      <c r="D198" s="3"/>
    </row>
    <row r="199" spans="2:4" ht="13" x14ac:dyDescent="0.15">
      <c r="B199" s="3"/>
      <c r="C199" s="3"/>
      <c r="D199" s="3"/>
    </row>
    <row r="200" spans="2:4" ht="13" x14ac:dyDescent="0.15">
      <c r="B200" s="3"/>
      <c r="C200" s="3"/>
      <c r="D200" s="3"/>
    </row>
    <row r="201" spans="2:4" ht="13" x14ac:dyDescent="0.15">
      <c r="B201" s="3"/>
      <c r="C201" s="3"/>
      <c r="D201" s="3"/>
    </row>
    <row r="202" spans="2:4" ht="13" x14ac:dyDescent="0.15">
      <c r="B202" s="3"/>
      <c r="C202" s="3"/>
      <c r="D202" s="3"/>
    </row>
    <row r="203" spans="2:4" ht="13" x14ac:dyDescent="0.15">
      <c r="B203" s="3"/>
      <c r="C203" s="3"/>
      <c r="D203" s="3"/>
    </row>
    <row r="204" spans="2:4" ht="13" x14ac:dyDescent="0.15">
      <c r="B204" s="3"/>
      <c r="C204" s="3"/>
      <c r="D204" s="3"/>
    </row>
    <row r="205" spans="2:4" ht="13" x14ac:dyDescent="0.15">
      <c r="B205" s="3"/>
      <c r="C205" s="3"/>
      <c r="D205" s="3"/>
    </row>
    <row r="206" spans="2:4" ht="13" x14ac:dyDescent="0.15">
      <c r="B206" s="3"/>
      <c r="C206" s="3"/>
      <c r="D206" s="3"/>
    </row>
    <row r="207" spans="2:4" ht="13" x14ac:dyDescent="0.15">
      <c r="B207" s="3"/>
      <c r="C207" s="3"/>
      <c r="D207" s="3"/>
    </row>
    <row r="208" spans="2:4" ht="13" x14ac:dyDescent="0.15">
      <c r="B208" s="3"/>
      <c r="C208" s="3"/>
      <c r="D208" s="3"/>
    </row>
    <row r="209" spans="2:4" ht="13" x14ac:dyDescent="0.15">
      <c r="B209" s="3"/>
      <c r="C209" s="3"/>
      <c r="D209" s="3"/>
    </row>
    <row r="210" spans="2:4" ht="13" x14ac:dyDescent="0.15">
      <c r="B210" s="3"/>
      <c r="C210" s="3"/>
      <c r="D210" s="3"/>
    </row>
    <row r="211" spans="2:4" ht="13" x14ac:dyDescent="0.15">
      <c r="B211" s="3"/>
      <c r="C211" s="3"/>
      <c r="D211" s="3"/>
    </row>
    <row r="212" spans="2:4" ht="13" x14ac:dyDescent="0.15">
      <c r="B212" s="3"/>
      <c r="C212" s="3"/>
      <c r="D212" s="3"/>
    </row>
    <row r="213" spans="2:4" ht="13" x14ac:dyDescent="0.15">
      <c r="B213" s="3"/>
      <c r="C213" s="3"/>
      <c r="D213" s="3"/>
    </row>
    <row r="214" spans="2:4" ht="13" x14ac:dyDescent="0.15">
      <c r="B214" s="3"/>
      <c r="C214" s="3"/>
      <c r="D214" s="3"/>
    </row>
    <row r="215" spans="2:4" ht="13" x14ac:dyDescent="0.15">
      <c r="B215" s="3"/>
      <c r="C215" s="3"/>
      <c r="D215" s="3"/>
    </row>
    <row r="216" spans="2:4" ht="13" x14ac:dyDescent="0.15">
      <c r="B216" s="3"/>
      <c r="C216" s="3"/>
      <c r="D216" s="3"/>
    </row>
    <row r="217" spans="2:4" ht="13" x14ac:dyDescent="0.15">
      <c r="B217" s="3"/>
      <c r="C217" s="3"/>
      <c r="D217" s="3"/>
    </row>
    <row r="218" spans="2:4" ht="13" x14ac:dyDescent="0.15">
      <c r="B218" s="3"/>
      <c r="C218" s="3"/>
      <c r="D218" s="3"/>
    </row>
    <row r="219" spans="2:4" ht="13" x14ac:dyDescent="0.15">
      <c r="B219" s="3"/>
      <c r="C219" s="3"/>
      <c r="D219" s="3"/>
    </row>
    <row r="220" spans="2:4" ht="13" x14ac:dyDescent="0.15">
      <c r="B220" s="3"/>
      <c r="C220" s="3"/>
      <c r="D220" s="3"/>
    </row>
    <row r="221" spans="2:4" ht="13" x14ac:dyDescent="0.15">
      <c r="B221" s="3"/>
      <c r="C221" s="3"/>
      <c r="D221" s="3"/>
    </row>
    <row r="222" spans="2:4" ht="13" x14ac:dyDescent="0.15">
      <c r="B222" s="3"/>
      <c r="C222" s="3"/>
      <c r="D222" s="3"/>
    </row>
    <row r="223" spans="2:4" ht="13" x14ac:dyDescent="0.15">
      <c r="B223" s="3"/>
      <c r="C223" s="3"/>
      <c r="D223" s="3"/>
    </row>
    <row r="224" spans="2:4" ht="13" x14ac:dyDescent="0.15">
      <c r="B224" s="3"/>
      <c r="C224" s="3"/>
      <c r="D224" s="3"/>
    </row>
    <row r="225" spans="2:4" ht="13" x14ac:dyDescent="0.15">
      <c r="B225" s="3"/>
      <c r="C225" s="3"/>
      <c r="D225" s="3"/>
    </row>
    <row r="226" spans="2:4" ht="13" x14ac:dyDescent="0.15">
      <c r="B226" s="3"/>
      <c r="C226" s="3"/>
      <c r="D226" s="3"/>
    </row>
    <row r="227" spans="2:4" ht="13" x14ac:dyDescent="0.15">
      <c r="B227" s="3"/>
      <c r="C227" s="3"/>
      <c r="D227" s="3"/>
    </row>
    <row r="228" spans="2:4" ht="13" x14ac:dyDescent="0.15">
      <c r="B228" s="3"/>
      <c r="C228" s="3"/>
      <c r="D228" s="3"/>
    </row>
    <row r="229" spans="2:4" ht="13" x14ac:dyDescent="0.15">
      <c r="B229" s="3"/>
      <c r="C229" s="3"/>
      <c r="D229" s="3"/>
    </row>
    <row r="230" spans="2:4" ht="13" x14ac:dyDescent="0.15">
      <c r="B230" s="3"/>
      <c r="C230" s="3"/>
      <c r="D230" s="3"/>
    </row>
    <row r="231" spans="2:4" ht="13" x14ac:dyDescent="0.15">
      <c r="B231" s="3"/>
      <c r="C231" s="3"/>
      <c r="D231" s="3"/>
    </row>
    <row r="232" spans="2:4" ht="13" x14ac:dyDescent="0.15">
      <c r="B232" s="3"/>
      <c r="C232" s="3"/>
      <c r="D232" s="3"/>
    </row>
    <row r="233" spans="2:4" ht="13" x14ac:dyDescent="0.15">
      <c r="B233" s="3"/>
      <c r="C233" s="3"/>
      <c r="D233" s="3"/>
    </row>
    <row r="234" spans="2:4" ht="13" x14ac:dyDescent="0.15">
      <c r="B234" s="3"/>
      <c r="C234" s="3"/>
      <c r="D234" s="3"/>
    </row>
    <row r="235" spans="2:4" ht="13" x14ac:dyDescent="0.15">
      <c r="B235" s="3"/>
      <c r="C235" s="3"/>
      <c r="D235" s="3"/>
    </row>
    <row r="236" spans="2:4" ht="13" x14ac:dyDescent="0.15">
      <c r="B236" s="3"/>
      <c r="C236" s="3"/>
      <c r="D236" s="3"/>
    </row>
    <row r="237" spans="2:4" ht="13" x14ac:dyDescent="0.15">
      <c r="B237" s="3"/>
      <c r="C237" s="3"/>
      <c r="D237" s="3"/>
    </row>
    <row r="238" spans="2:4" ht="13" x14ac:dyDescent="0.15">
      <c r="B238" s="3"/>
      <c r="C238" s="3"/>
      <c r="D238" s="3"/>
    </row>
    <row r="239" spans="2:4" ht="13" x14ac:dyDescent="0.15">
      <c r="B239" s="3"/>
      <c r="C239" s="3"/>
      <c r="D239" s="3"/>
    </row>
    <row r="240" spans="2:4" ht="13" x14ac:dyDescent="0.15">
      <c r="B240" s="3"/>
      <c r="C240" s="3"/>
      <c r="D240" s="3"/>
    </row>
    <row r="241" spans="2:4" ht="13" x14ac:dyDescent="0.15">
      <c r="B241" s="3"/>
      <c r="C241" s="3"/>
      <c r="D241" s="3"/>
    </row>
    <row r="242" spans="2:4" ht="13" x14ac:dyDescent="0.15">
      <c r="B242" s="3"/>
      <c r="C242" s="3"/>
      <c r="D242" s="3"/>
    </row>
    <row r="243" spans="2:4" ht="13" x14ac:dyDescent="0.15">
      <c r="B243" s="3"/>
      <c r="C243" s="3"/>
      <c r="D243" s="3"/>
    </row>
    <row r="244" spans="2:4" ht="13" x14ac:dyDescent="0.15">
      <c r="B244" s="3"/>
      <c r="C244" s="3"/>
      <c r="D244" s="3"/>
    </row>
    <row r="245" spans="2:4" ht="13" x14ac:dyDescent="0.15">
      <c r="B245" s="3"/>
      <c r="C245" s="3"/>
      <c r="D245" s="3"/>
    </row>
    <row r="246" spans="2:4" ht="13" x14ac:dyDescent="0.15">
      <c r="B246" s="3"/>
      <c r="C246" s="3"/>
      <c r="D246" s="3"/>
    </row>
    <row r="247" spans="2:4" ht="13" x14ac:dyDescent="0.15">
      <c r="B247" s="3"/>
      <c r="C247" s="3"/>
      <c r="D247" s="3"/>
    </row>
    <row r="248" spans="2:4" ht="13" x14ac:dyDescent="0.15">
      <c r="B248" s="3"/>
      <c r="C248" s="3"/>
      <c r="D248" s="3"/>
    </row>
    <row r="249" spans="2:4" ht="13" x14ac:dyDescent="0.15">
      <c r="B249" s="3"/>
      <c r="C249" s="3"/>
      <c r="D249" s="3"/>
    </row>
    <row r="250" spans="2:4" ht="13" x14ac:dyDescent="0.15">
      <c r="B250" s="3"/>
      <c r="C250" s="3"/>
      <c r="D250" s="3"/>
    </row>
    <row r="251" spans="2:4" ht="13" x14ac:dyDescent="0.15">
      <c r="B251" s="3"/>
      <c r="C251" s="3"/>
      <c r="D251" s="3"/>
    </row>
    <row r="252" spans="2:4" ht="13" x14ac:dyDescent="0.15">
      <c r="B252" s="3"/>
      <c r="C252" s="3"/>
      <c r="D252" s="3"/>
    </row>
    <row r="253" spans="2:4" ht="13" x14ac:dyDescent="0.15">
      <c r="B253" s="3"/>
      <c r="C253" s="3"/>
      <c r="D253" s="3"/>
    </row>
    <row r="254" spans="2:4" ht="13" x14ac:dyDescent="0.15">
      <c r="B254" s="3"/>
      <c r="C254" s="3"/>
      <c r="D254" s="3"/>
    </row>
    <row r="255" spans="2:4" ht="13" x14ac:dyDescent="0.15">
      <c r="B255" s="3"/>
      <c r="C255" s="3"/>
      <c r="D255" s="3"/>
    </row>
    <row r="256" spans="2:4" ht="13" x14ac:dyDescent="0.15">
      <c r="B256" s="3"/>
      <c r="C256" s="3"/>
      <c r="D256" s="3"/>
    </row>
    <row r="257" spans="2:4" ht="13" x14ac:dyDescent="0.15">
      <c r="B257" s="3"/>
      <c r="C257" s="3"/>
      <c r="D257" s="3"/>
    </row>
    <row r="258" spans="2:4" ht="13" x14ac:dyDescent="0.15">
      <c r="B258" s="3"/>
      <c r="C258" s="3"/>
      <c r="D258" s="3"/>
    </row>
    <row r="259" spans="2:4" ht="13" x14ac:dyDescent="0.15">
      <c r="B259" s="3"/>
      <c r="C259" s="3"/>
      <c r="D259" s="3"/>
    </row>
    <row r="260" spans="2:4" ht="13" x14ac:dyDescent="0.15">
      <c r="B260" s="3"/>
      <c r="C260" s="3"/>
      <c r="D260" s="3"/>
    </row>
    <row r="261" spans="2:4" ht="13" x14ac:dyDescent="0.15">
      <c r="B261" s="3"/>
      <c r="C261" s="3"/>
      <c r="D261" s="3"/>
    </row>
    <row r="262" spans="2:4" ht="13" x14ac:dyDescent="0.15">
      <c r="B262" s="3"/>
      <c r="C262" s="3"/>
      <c r="D262" s="3"/>
    </row>
    <row r="263" spans="2:4" ht="13" x14ac:dyDescent="0.15">
      <c r="B263" s="3"/>
      <c r="C263" s="3"/>
      <c r="D263" s="3"/>
    </row>
    <row r="264" spans="2:4" ht="13" x14ac:dyDescent="0.15">
      <c r="B264" s="3"/>
      <c r="C264" s="3"/>
      <c r="D264" s="3"/>
    </row>
    <row r="265" spans="2:4" ht="13" x14ac:dyDescent="0.15">
      <c r="B265" s="3"/>
      <c r="C265" s="3"/>
      <c r="D265" s="3"/>
    </row>
    <row r="266" spans="2:4" ht="13" x14ac:dyDescent="0.15">
      <c r="B266" s="3"/>
      <c r="C266" s="3"/>
      <c r="D266" s="3"/>
    </row>
    <row r="267" spans="2:4" ht="13" x14ac:dyDescent="0.15">
      <c r="B267" s="3"/>
      <c r="C267" s="3"/>
      <c r="D267" s="3"/>
    </row>
    <row r="268" spans="2:4" ht="13" x14ac:dyDescent="0.15">
      <c r="B268" s="3"/>
      <c r="C268" s="3"/>
      <c r="D268" s="3"/>
    </row>
    <row r="269" spans="2:4" ht="13" x14ac:dyDescent="0.15">
      <c r="B269" s="3"/>
      <c r="C269" s="3"/>
      <c r="D269" s="3"/>
    </row>
    <row r="270" spans="2:4" ht="13" x14ac:dyDescent="0.15">
      <c r="B270" s="3"/>
      <c r="C270" s="3"/>
      <c r="D270" s="3"/>
    </row>
    <row r="271" spans="2:4" ht="13" x14ac:dyDescent="0.15">
      <c r="B271" s="3"/>
      <c r="C271" s="3"/>
      <c r="D271" s="3"/>
    </row>
    <row r="272" spans="2:4" ht="13" x14ac:dyDescent="0.15">
      <c r="B272" s="3"/>
      <c r="C272" s="3"/>
      <c r="D272" s="3"/>
    </row>
    <row r="273" spans="2:4" ht="13" x14ac:dyDescent="0.15">
      <c r="B273" s="3"/>
      <c r="C273" s="3"/>
      <c r="D273" s="3"/>
    </row>
    <row r="274" spans="2:4" ht="13" x14ac:dyDescent="0.15">
      <c r="B274" s="3"/>
      <c r="C274" s="3"/>
      <c r="D274" s="3"/>
    </row>
    <row r="275" spans="2:4" ht="13" x14ac:dyDescent="0.15">
      <c r="B275" s="3"/>
      <c r="C275" s="3"/>
      <c r="D275" s="3"/>
    </row>
    <row r="276" spans="2:4" ht="13" x14ac:dyDescent="0.15">
      <c r="B276" s="3"/>
      <c r="C276" s="3"/>
      <c r="D276" s="3"/>
    </row>
    <row r="277" spans="2:4" ht="13" x14ac:dyDescent="0.15">
      <c r="B277" s="3"/>
      <c r="C277" s="3"/>
      <c r="D277" s="3"/>
    </row>
    <row r="278" spans="2:4" ht="13" x14ac:dyDescent="0.15">
      <c r="B278" s="3"/>
      <c r="C278" s="3"/>
      <c r="D278" s="3"/>
    </row>
    <row r="279" spans="2:4" ht="13" x14ac:dyDescent="0.15">
      <c r="B279" s="3"/>
      <c r="C279" s="3"/>
      <c r="D279" s="3"/>
    </row>
    <row r="280" spans="2:4" ht="13" x14ac:dyDescent="0.15">
      <c r="B280" s="3"/>
      <c r="C280" s="3"/>
      <c r="D280" s="3"/>
    </row>
    <row r="281" spans="2:4" ht="13" x14ac:dyDescent="0.15">
      <c r="B281" s="3"/>
      <c r="C281" s="3"/>
      <c r="D281" s="3"/>
    </row>
    <row r="282" spans="2:4" ht="13" x14ac:dyDescent="0.15">
      <c r="B282" s="3"/>
      <c r="C282" s="3"/>
      <c r="D282" s="3"/>
    </row>
    <row r="283" spans="2:4" ht="13" x14ac:dyDescent="0.15">
      <c r="B283" s="3"/>
      <c r="C283" s="3"/>
      <c r="D283" s="3"/>
    </row>
    <row r="284" spans="2:4" ht="13" x14ac:dyDescent="0.15">
      <c r="B284" s="3"/>
      <c r="C284" s="3"/>
      <c r="D284" s="3"/>
    </row>
    <row r="285" spans="2:4" ht="13" x14ac:dyDescent="0.15">
      <c r="B285" s="3"/>
      <c r="C285" s="3"/>
      <c r="D285" s="3"/>
    </row>
    <row r="286" spans="2:4" ht="13" x14ac:dyDescent="0.15">
      <c r="B286" s="3"/>
      <c r="C286" s="3"/>
      <c r="D286" s="3"/>
    </row>
    <row r="287" spans="2:4" ht="13" x14ac:dyDescent="0.15">
      <c r="B287" s="3"/>
      <c r="C287" s="3"/>
      <c r="D287" s="3"/>
    </row>
    <row r="288" spans="2:4" ht="13" x14ac:dyDescent="0.15">
      <c r="B288" s="3"/>
      <c r="C288" s="3"/>
      <c r="D288" s="3"/>
    </row>
    <row r="289" spans="2:4" ht="13" x14ac:dyDescent="0.15">
      <c r="B289" s="3"/>
      <c r="C289" s="3"/>
      <c r="D289" s="3"/>
    </row>
    <row r="290" spans="2:4" ht="13" x14ac:dyDescent="0.15">
      <c r="B290" s="3"/>
      <c r="C290" s="3"/>
      <c r="D290" s="3"/>
    </row>
    <row r="291" spans="2:4" ht="13" x14ac:dyDescent="0.15">
      <c r="B291" s="3"/>
      <c r="C291" s="3"/>
      <c r="D291" s="3"/>
    </row>
    <row r="292" spans="2:4" ht="13" x14ac:dyDescent="0.15">
      <c r="B292" s="3"/>
      <c r="C292" s="3"/>
      <c r="D292" s="3"/>
    </row>
    <row r="293" spans="2:4" ht="13" x14ac:dyDescent="0.15">
      <c r="B293" s="3"/>
      <c r="C293" s="3"/>
      <c r="D293" s="3"/>
    </row>
    <row r="294" spans="2:4" ht="13" x14ac:dyDescent="0.15">
      <c r="B294" s="3"/>
      <c r="C294" s="3"/>
      <c r="D294" s="3"/>
    </row>
    <row r="295" spans="2:4" ht="13" x14ac:dyDescent="0.15">
      <c r="B295" s="3"/>
      <c r="C295" s="3"/>
      <c r="D295" s="3"/>
    </row>
    <row r="296" spans="2:4" ht="13" x14ac:dyDescent="0.15">
      <c r="B296" s="3"/>
      <c r="C296" s="3"/>
      <c r="D296" s="3"/>
    </row>
    <row r="297" spans="2:4" ht="13" x14ac:dyDescent="0.15">
      <c r="B297" s="3"/>
      <c r="C297" s="3"/>
      <c r="D297" s="3"/>
    </row>
    <row r="298" spans="2:4" ht="13" x14ac:dyDescent="0.15">
      <c r="B298" s="3"/>
      <c r="C298" s="3"/>
      <c r="D298" s="3"/>
    </row>
    <row r="299" spans="2:4" ht="13" x14ac:dyDescent="0.15">
      <c r="B299" s="3"/>
      <c r="C299" s="3"/>
      <c r="D299" s="3"/>
    </row>
    <row r="300" spans="2:4" ht="13" x14ac:dyDescent="0.15">
      <c r="B300" s="3"/>
      <c r="C300" s="3"/>
      <c r="D300" s="3"/>
    </row>
    <row r="301" spans="2:4" ht="13" x14ac:dyDescent="0.15">
      <c r="B301" s="3"/>
      <c r="C301" s="3"/>
      <c r="D301" s="3"/>
    </row>
    <row r="302" spans="2:4" ht="13" x14ac:dyDescent="0.15">
      <c r="B302" s="3"/>
      <c r="C302" s="3"/>
      <c r="D302" s="3"/>
    </row>
    <row r="303" spans="2:4" ht="13" x14ac:dyDescent="0.15">
      <c r="B303" s="3"/>
      <c r="C303" s="3"/>
      <c r="D303" s="3"/>
    </row>
    <row r="304" spans="2:4" ht="13" x14ac:dyDescent="0.15">
      <c r="B304" s="3"/>
      <c r="C304" s="3"/>
      <c r="D304" s="3"/>
    </row>
    <row r="305" spans="2:4" ht="13" x14ac:dyDescent="0.15">
      <c r="B305" s="3"/>
      <c r="C305" s="3"/>
      <c r="D305" s="3"/>
    </row>
    <row r="306" spans="2:4" ht="13" x14ac:dyDescent="0.15">
      <c r="B306" s="3"/>
      <c r="C306" s="3"/>
      <c r="D306" s="3"/>
    </row>
    <row r="307" spans="2:4" ht="13" x14ac:dyDescent="0.15">
      <c r="B307" s="3"/>
      <c r="C307" s="3"/>
      <c r="D307" s="3"/>
    </row>
    <row r="308" spans="2:4" ht="13" x14ac:dyDescent="0.15">
      <c r="B308" s="3"/>
      <c r="C308" s="3"/>
      <c r="D308" s="3"/>
    </row>
    <row r="309" spans="2:4" ht="13" x14ac:dyDescent="0.15">
      <c r="B309" s="3"/>
      <c r="C309" s="3"/>
      <c r="D309" s="3"/>
    </row>
    <row r="310" spans="2:4" ht="13" x14ac:dyDescent="0.15">
      <c r="B310" s="3"/>
      <c r="C310" s="3"/>
      <c r="D310" s="3"/>
    </row>
    <row r="311" spans="2:4" ht="13" x14ac:dyDescent="0.15">
      <c r="B311" s="3"/>
      <c r="C311" s="3"/>
      <c r="D311" s="3"/>
    </row>
    <row r="312" spans="2:4" ht="13" x14ac:dyDescent="0.15">
      <c r="B312" s="3"/>
      <c r="C312" s="3"/>
      <c r="D312" s="3"/>
    </row>
    <row r="313" spans="2:4" ht="13" x14ac:dyDescent="0.15">
      <c r="B313" s="3"/>
      <c r="C313" s="3"/>
      <c r="D313" s="3"/>
    </row>
    <row r="314" spans="2:4" ht="13" x14ac:dyDescent="0.15">
      <c r="B314" s="3"/>
      <c r="C314" s="3"/>
      <c r="D314" s="3"/>
    </row>
    <row r="315" spans="2:4" ht="13" x14ac:dyDescent="0.15">
      <c r="B315" s="3"/>
      <c r="C315" s="3"/>
      <c r="D315" s="3"/>
    </row>
    <row r="316" spans="2:4" ht="13" x14ac:dyDescent="0.15">
      <c r="B316" s="3"/>
      <c r="C316" s="3"/>
      <c r="D316" s="3"/>
    </row>
    <row r="317" spans="2:4" ht="13" x14ac:dyDescent="0.15">
      <c r="B317" s="3"/>
      <c r="C317" s="3"/>
      <c r="D317" s="3"/>
    </row>
    <row r="318" spans="2:4" ht="13" x14ac:dyDescent="0.15">
      <c r="B318" s="3"/>
      <c r="C318" s="3"/>
      <c r="D318" s="3"/>
    </row>
    <row r="319" spans="2:4" ht="13" x14ac:dyDescent="0.15">
      <c r="B319" s="3"/>
      <c r="C319" s="3"/>
      <c r="D319" s="3"/>
    </row>
    <row r="320" spans="2:4" ht="13" x14ac:dyDescent="0.15">
      <c r="B320" s="3"/>
      <c r="C320" s="3"/>
      <c r="D320" s="3"/>
    </row>
    <row r="321" spans="2:4" ht="13" x14ac:dyDescent="0.15">
      <c r="B321" s="3"/>
      <c r="C321" s="3"/>
      <c r="D321" s="3"/>
    </row>
    <row r="322" spans="2:4" ht="13" x14ac:dyDescent="0.15">
      <c r="B322" s="3"/>
      <c r="C322" s="3"/>
      <c r="D322" s="3"/>
    </row>
    <row r="323" spans="2:4" ht="13" x14ac:dyDescent="0.15">
      <c r="B323" s="3"/>
      <c r="C323" s="3"/>
      <c r="D323" s="3"/>
    </row>
    <row r="324" spans="2:4" ht="13" x14ac:dyDescent="0.15">
      <c r="B324" s="3"/>
      <c r="C324" s="3"/>
      <c r="D324" s="3"/>
    </row>
    <row r="325" spans="2:4" ht="13" x14ac:dyDescent="0.15">
      <c r="B325" s="3"/>
      <c r="C325" s="3"/>
      <c r="D325" s="3"/>
    </row>
    <row r="326" spans="2:4" ht="13" x14ac:dyDescent="0.15">
      <c r="B326" s="3"/>
      <c r="C326" s="3"/>
      <c r="D326" s="3"/>
    </row>
    <row r="327" spans="2:4" ht="13" x14ac:dyDescent="0.15">
      <c r="B327" s="3"/>
      <c r="C327" s="3"/>
      <c r="D327" s="3"/>
    </row>
    <row r="328" spans="2:4" ht="13" x14ac:dyDescent="0.15">
      <c r="B328" s="3"/>
      <c r="C328" s="3"/>
      <c r="D328" s="3"/>
    </row>
    <row r="329" spans="2:4" ht="13" x14ac:dyDescent="0.15">
      <c r="B329" s="3"/>
      <c r="C329" s="3"/>
      <c r="D329" s="3"/>
    </row>
    <row r="330" spans="2:4" ht="13" x14ac:dyDescent="0.15">
      <c r="B330" s="3"/>
      <c r="C330" s="3"/>
      <c r="D330" s="3"/>
    </row>
    <row r="331" spans="2:4" ht="13" x14ac:dyDescent="0.15">
      <c r="B331" s="3"/>
      <c r="C331" s="3"/>
      <c r="D331" s="3"/>
    </row>
    <row r="332" spans="2:4" ht="13" x14ac:dyDescent="0.15">
      <c r="B332" s="3"/>
      <c r="C332" s="3"/>
      <c r="D332" s="3"/>
    </row>
    <row r="333" spans="2:4" ht="13" x14ac:dyDescent="0.15">
      <c r="B333" s="3"/>
      <c r="C333" s="3"/>
      <c r="D333" s="3"/>
    </row>
    <row r="334" spans="2:4" ht="13" x14ac:dyDescent="0.15">
      <c r="B334" s="3"/>
      <c r="C334" s="3"/>
      <c r="D334" s="3"/>
    </row>
    <row r="335" spans="2:4" ht="13" x14ac:dyDescent="0.15">
      <c r="B335" s="3"/>
      <c r="C335" s="3"/>
      <c r="D335" s="3"/>
    </row>
    <row r="336" spans="2:4" ht="13" x14ac:dyDescent="0.15">
      <c r="B336" s="3"/>
      <c r="C336" s="3"/>
      <c r="D336" s="3"/>
    </row>
    <row r="337" spans="2:4" ht="13" x14ac:dyDescent="0.15">
      <c r="B337" s="3"/>
      <c r="C337" s="3"/>
      <c r="D337" s="3"/>
    </row>
    <row r="338" spans="2:4" ht="13" x14ac:dyDescent="0.15">
      <c r="B338" s="3"/>
      <c r="C338" s="3"/>
      <c r="D338" s="3"/>
    </row>
    <row r="339" spans="2:4" ht="13" x14ac:dyDescent="0.15">
      <c r="B339" s="3"/>
      <c r="C339" s="3"/>
      <c r="D339" s="3"/>
    </row>
    <row r="340" spans="2:4" ht="13" x14ac:dyDescent="0.15">
      <c r="B340" s="3"/>
      <c r="C340" s="3"/>
      <c r="D340" s="3"/>
    </row>
    <row r="341" spans="2:4" ht="13" x14ac:dyDescent="0.15">
      <c r="B341" s="3"/>
      <c r="C341" s="3"/>
      <c r="D341" s="3"/>
    </row>
    <row r="342" spans="2:4" ht="13" x14ac:dyDescent="0.15">
      <c r="B342" s="3"/>
      <c r="C342" s="3"/>
      <c r="D342" s="3"/>
    </row>
    <row r="343" spans="2:4" ht="13" x14ac:dyDescent="0.15">
      <c r="B343" s="3"/>
      <c r="C343" s="3"/>
      <c r="D343" s="3"/>
    </row>
    <row r="344" spans="2:4" ht="13" x14ac:dyDescent="0.15">
      <c r="B344" s="3"/>
      <c r="C344" s="3"/>
      <c r="D344" s="3"/>
    </row>
    <row r="345" spans="2:4" ht="13" x14ac:dyDescent="0.15">
      <c r="B345" s="3"/>
      <c r="C345" s="3"/>
      <c r="D345" s="3"/>
    </row>
    <row r="346" spans="2:4" ht="13" x14ac:dyDescent="0.15">
      <c r="B346" s="3"/>
      <c r="C346" s="3"/>
      <c r="D346" s="3"/>
    </row>
    <row r="347" spans="2:4" ht="13" x14ac:dyDescent="0.15">
      <c r="B347" s="3"/>
      <c r="C347" s="3"/>
      <c r="D347" s="3"/>
    </row>
    <row r="348" spans="2:4" ht="13" x14ac:dyDescent="0.15">
      <c r="B348" s="3"/>
      <c r="C348" s="3"/>
      <c r="D348" s="3"/>
    </row>
    <row r="349" spans="2:4" ht="13" x14ac:dyDescent="0.15">
      <c r="B349" s="3"/>
      <c r="C349" s="3"/>
      <c r="D349" s="3"/>
    </row>
    <row r="350" spans="2:4" ht="13" x14ac:dyDescent="0.15">
      <c r="B350" s="3"/>
      <c r="C350" s="3"/>
      <c r="D350" s="3"/>
    </row>
    <row r="351" spans="2:4" ht="13" x14ac:dyDescent="0.15">
      <c r="B351" s="3"/>
      <c r="C351" s="3"/>
      <c r="D351" s="3"/>
    </row>
    <row r="352" spans="2:4" ht="13" x14ac:dyDescent="0.15">
      <c r="B352" s="3"/>
      <c r="C352" s="3"/>
      <c r="D352" s="3"/>
    </row>
    <row r="353" spans="2:4" ht="13" x14ac:dyDescent="0.15">
      <c r="B353" s="3"/>
      <c r="C353" s="3"/>
      <c r="D353" s="3"/>
    </row>
    <row r="354" spans="2:4" ht="13" x14ac:dyDescent="0.15">
      <c r="B354" s="3"/>
      <c r="C354" s="3"/>
      <c r="D354" s="3"/>
    </row>
    <row r="355" spans="2:4" ht="13" x14ac:dyDescent="0.15">
      <c r="B355" s="3"/>
      <c r="C355" s="3"/>
      <c r="D355" s="3"/>
    </row>
    <row r="356" spans="2:4" ht="13" x14ac:dyDescent="0.15">
      <c r="B356" s="3"/>
      <c r="C356" s="3"/>
      <c r="D356" s="3"/>
    </row>
    <row r="357" spans="2:4" ht="13" x14ac:dyDescent="0.15">
      <c r="B357" s="3"/>
      <c r="C357" s="3"/>
      <c r="D357" s="3"/>
    </row>
    <row r="358" spans="2:4" ht="13" x14ac:dyDescent="0.15">
      <c r="B358" s="3"/>
      <c r="C358" s="3"/>
      <c r="D358" s="3"/>
    </row>
    <row r="359" spans="2:4" ht="13" x14ac:dyDescent="0.15">
      <c r="B359" s="3"/>
      <c r="C359" s="3"/>
      <c r="D359" s="3"/>
    </row>
    <row r="360" spans="2:4" ht="13" x14ac:dyDescent="0.15">
      <c r="B360" s="3"/>
      <c r="C360" s="3"/>
      <c r="D360" s="3"/>
    </row>
    <row r="361" spans="2:4" ht="13" x14ac:dyDescent="0.15">
      <c r="B361" s="3"/>
      <c r="C361" s="3"/>
      <c r="D361" s="3"/>
    </row>
    <row r="362" spans="2:4" ht="13" x14ac:dyDescent="0.15">
      <c r="B362" s="3"/>
      <c r="C362" s="3"/>
      <c r="D362" s="3"/>
    </row>
    <row r="363" spans="2:4" ht="13" x14ac:dyDescent="0.15">
      <c r="B363" s="3"/>
      <c r="C363" s="3"/>
      <c r="D363" s="3"/>
    </row>
    <row r="364" spans="2:4" ht="13" x14ac:dyDescent="0.15">
      <c r="B364" s="3"/>
      <c r="C364" s="3"/>
      <c r="D364" s="3"/>
    </row>
    <row r="365" spans="2:4" ht="13" x14ac:dyDescent="0.15">
      <c r="B365" s="3"/>
      <c r="C365" s="3"/>
      <c r="D365" s="3"/>
    </row>
    <row r="366" spans="2:4" ht="13" x14ac:dyDescent="0.15">
      <c r="B366" s="3"/>
      <c r="C366" s="3"/>
      <c r="D366" s="3"/>
    </row>
    <row r="367" spans="2:4" ht="13" x14ac:dyDescent="0.15">
      <c r="B367" s="3"/>
      <c r="C367" s="3"/>
      <c r="D367" s="3"/>
    </row>
    <row r="368" spans="2:4" ht="13" x14ac:dyDescent="0.15">
      <c r="B368" s="3"/>
      <c r="C368" s="3"/>
      <c r="D368" s="3"/>
    </row>
    <row r="369" spans="2:4" ht="13" x14ac:dyDescent="0.15">
      <c r="B369" s="3"/>
      <c r="C369" s="3"/>
      <c r="D369" s="3"/>
    </row>
    <row r="370" spans="2:4" ht="13" x14ac:dyDescent="0.15">
      <c r="B370" s="3"/>
      <c r="C370" s="3"/>
      <c r="D370" s="3"/>
    </row>
    <row r="371" spans="2:4" ht="13" x14ac:dyDescent="0.15">
      <c r="B371" s="3"/>
      <c r="C371" s="3"/>
      <c r="D371" s="3"/>
    </row>
    <row r="372" spans="2:4" ht="13" x14ac:dyDescent="0.15">
      <c r="B372" s="3"/>
      <c r="C372" s="3"/>
      <c r="D372" s="3"/>
    </row>
    <row r="373" spans="2:4" ht="13" x14ac:dyDescent="0.15">
      <c r="B373" s="3"/>
      <c r="C373" s="3"/>
      <c r="D373" s="3"/>
    </row>
    <row r="374" spans="2:4" ht="13" x14ac:dyDescent="0.15">
      <c r="B374" s="3"/>
      <c r="C374" s="3"/>
      <c r="D374" s="3"/>
    </row>
    <row r="375" spans="2:4" ht="13" x14ac:dyDescent="0.15">
      <c r="B375" s="3"/>
      <c r="C375" s="3"/>
      <c r="D375" s="3"/>
    </row>
    <row r="376" spans="2:4" ht="13" x14ac:dyDescent="0.15">
      <c r="B376" s="3"/>
      <c r="C376" s="3"/>
      <c r="D376" s="3"/>
    </row>
    <row r="377" spans="2:4" ht="13" x14ac:dyDescent="0.15">
      <c r="B377" s="3"/>
      <c r="C377" s="3"/>
      <c r="D377" s="3"/>
    </row>
    <row r="378" spans="2:4" ht="13" x14ac:dyDescent="0.15">
      <c r="B378" s="3"/>
      <c r="C378" s="3"/>
      <c r="D378" s="3"/>
    </row>
    <row r="379" spans="2:4" ht="13" x14ac:dyDescent="0.15">
      <c r="B379" s="3"/>
      <c r="C379" s="3"/>
      <c r="D379" s="3"/>
    </row>
    <row r="380" spans="2:4" ht="13" x14ac:dyDescent="0.15">
      <c r="B380" s="3"/>
      <c r="C380" s="3"/>
      <c r="D380" s="3"/>
    </row>
    <row r="381" spans="2:4" ht="13" x14ac:dyDescent="0.15">
      <c r="B381" s="3"/>
      <c r="C381" s="3"/>
      <c r="D381" s="3"/>
    </row>
    <row r="382" spans="2:4" ht="13" x14ac:dyDescent="0.15">
      <c r="B382" s="3"/>
      <c r="C382" s="3"/>
      <c r="D382" s="3"/>
    </row>
    <row r="383" spans="2:4" ht="13" x14ac:dyDescent="0.15">
      <c r="B383" s="3"/>
      <c r="C383" s="3"/>
      <c r="D383" s="3"/>
    </row>
    <row r="384" spans="2:4" ht="13" x14ac:dyDescent="0.15">
      <c r="B384" s="3"/>
      <c r="C384" s="3"/>
      <c r="D384" s="3"/>
    </row>
    <row r="385" spans="2:4" ht="13" x14ac:dyDescent="0.15">
      <c r="B385" s="3"/>
      <c r="C385" s="3"/>
      <c r="D385" s="3"/>
    </row>
    <row r="386" spans="2:4" ht="13" x14ac:dyDescent="0.15">
      <c r="B386" s="3"/>
      <c r="C386" s="3"/>
      <c r="D386" s="3"/>
    </row>
    <row r="387" spans="2:4" ht="13" x14ac:dyDescent="0.15">
      <c r="B387" s="3"/>
      <c r="C387" s="3"/>
      <c r="D387" s="3"/>
    </row>
    <row r="388" spans="2:4" ht="13" x14ac:dyDescent="0.15">
      <c r="B388" s="3"/>
      <c r="C388" s="3"/>
      <c r="D388" s="3"/>
    </row>
    <row r="389" spans="2:4" ht="13" x14ac:dyDescent="0.15">
      <c r="B389" s="3"/>
      <c r="C389" s="3"/>
      <c r="D389" s="3"/>
    </row>
    <row r="390" spans="2:4" ht="13" x14ac:dyDescent="0.15">
      <c r="B390" s="3"/>
      <c r="C390" s="3"/>
      <c r="D390" s="3"/>
    </row>
    <row r="391" spans="2:4" ht="13" x14ac:dyDescent="0.15">
      <c r="B391" s="3"/>
      <c r="C391" s="3"/>
      <c r="D391" s="3"/>
    </row>
    <row r="392" spans="2:4" ht="13" x14ac:dyDescent="0.15">
      <c r="B392" s="3"/>
      <c r="C392" s="3"/>
      <c r="D392" s="3"/>
    </row>
    <row r="393" spans="2:4" ht="13" x14ac:dyDescent="0.15">
      <c r="B393" s="3"/>
      <c r="C393" s="3"/>
      <c r="D393" s="3"/>
    </row>
    <row r="394" spans="2:4" ht="13" x14ac:dyDescent="0.15">
      <c r="B394" s="3"/>
      <c r="C394" s="3"/>
      <c r="D394" s="3"/>
    </row>
    <row r="395" spans="2:4" ht="13" x14ac:dyDescent="0.15">
      <c r="B395" s="3"/>
      <c r="C395" s="3"/>
      <c r="D395" s="3"/>
    </row>
    <row r="396" spans="2:4" ht="13" x14ac:dyDescent="0.15">
      <c r="B396" s="3"/>
      <c r="C396" s="3"/>
      <c r="D396" s="3"/>
    </row>
    <row r="397" spans="2:4" ht="13" x14ac:dyDescent="0.15">
      <c r="B397" s="3"/>
      <c r="C397" s="3"/>
      <c r="D397" s="3"/>
    </row>
    <row r="398" spans="2:4" ht="13" x14ac:dyDescent="0.15">
      <c r="B398" s="3"/>
      <c r="C398" s="3"/>
      <c r="D398" s="3"/>
    </row>
    <row r="399" spans="2:4" ht="13" x14ac:dyDescent="0.15">
      <c r="B399" s="3"/>
      <c r="C399" s="3"/>
      <c r="D399" s="3"/>
    </row>
    <row r="400" spans="2:4" ht="13" x14ac:dyDescent="0.15">
      <c r="B400" s="3"/>
      <c r="C400" s="3"/>
      <c r="D400" s="3"/>
    </row>
    <row r="401" spans="2:4" ht="13" x14ac:dyDescent="0.15">
      <c r="B401" s="3"/>
      <c r="C401" s="3"/>
      <c r="D401" s="3"/>
    </row>
    <row r="402" spans="2:4" ht="13" x14ac:dyDescent="0.15">
      <c r="B402" s="3"/>
      <c r="C402" s="3"/>
      <c r="D402" s="3"/>
    </row>
    <row r="403" spans="2:4" ht="13" x14ac:dyDescent="0.15">
      <c r="B403" s="3"/>
      <c r="C403" s="3"/>
      <c r="D403" s="3"/>
    </row>
    <row r="404" spans="2:4" ht="13" x14ac:dyDescent="0.15">
      <c r="B404" s="3"/>
      <c r="C404" s="3"/>
      <c r="D404" s="3"/>
    </row>
    <row r="405" spans="2:4" ht="13" x14ac:dyDescent="0.15">
      <c r="B405" s="3"/>
      <c r="C405" s="3"/>
      <c r="D405" s="3"/>
    </row>
    <row r="406" spans="2:4" ht="13" x14ac:dyDescent="0.15">
      <c r="B406" s="3"/>
      <c r="C406" s="3"/>
      <c r="D406" s="3"/>
    </row>
    <row r="407" spans="2:4" ht="13" x14ac:dyDescent="0.15">
      <c r="B407" s="3"/>
      <c r="C407" s="3"/>
      <c r="D407" s="3"/>
    </row>
    <row r="408" spans="2:4" ht="13" x14ac:dyDescent="0.15">
      <c r="B408" s="3"/>
      <c r="C408" s="3"/>
      <c r="D408" s="3"/>
    </row>
    <row r="409" spans="2:4" ht="13" x14ac:dyDescent="0.15">
      <c r="B409" s="3"/>
      <c r="C409" s="3"/>
      <c r="D409" s="3"/>
    </row>
    <row r="410" spans="2:4" ht="13" x14ac:dyDescent="0.15">
      <c r="B410" s="3"/>
      <c r="C410" s="3"/>
      <c r="D410" s="3"/>
    </row>
    <row r="411" spans="2:4" ht="13" x14ac:dyDescent="0.15">
      <c r="B411" s="3"/>
      <c r="C411" s="3"/>
      <c r="D411" s="3"/>
    </row>
    <row r="412" spans="2:4" ht="13" x14ac:dyDescent="0.15">
      <c r="B412" s="3"/>
      <c r="C412" s="3"/>
      <c r="D412" s="3"/>
    </row>
    <row r="413" spans="2:4" ht="13" x14ac:dyDescent="0.15">
      <c r="B413" s="3"/>
      <c r="C413" s="3"/>
      <c r="D413" s="3"/>
    </row>
    <row r="414" spans="2:4" ht="13" x14ac:dyDescent="0.15">
      <c r="B414" s="3"/>
      <c r="C414" s="3"/>
      <c r="D414" s="3"/>
    </row>
    <row r="415" spans="2:4" ht="13" x14ac:dyDescent="0.15">
      <c r="B415" s="3"/>
      <c r="C415" s="3"/>
      <c r="D415" s="3"/>
    </row>
    <row r="416" spans="2:4" ht="13" x14ac:dyDescent="0.15">
      <c r="B416" s="3"/>
      <c r="C416" s="3"/>
      <c r="D416" s="3"/>
    </row>
    <row r="417" spans="2:4" ht="13" x14ac:dyDescent="0.15">
      <c r="B417" s="3"/>
      <c r="C417" s="3"/>
      <c r="D417" s="3"/>
    </row>
    <row r="418" spans="2:4" ht="13" x14ac:dyDescent="0.15">
      <c r="B418" s="3"/>
      <c r="C418" s="3"/>
      <c r="D418" s="3"/>
    </row>
    <row r="419" spans="2:4" ht="13" x14ac:dyDescent="0.15">
      <c r="B419" s="3"/>
      <c r="C419" s="3"/>
      <c r="D419" s="3"/>
    </row>
    <row r="420" spans="2:4" ht="13" x14ac:dyDescent="0.15">
      <c r="B420" s="3"/>
      <c r="C420" s="3"/>
      <c r="D420" s="3"/>
    </row>
    <row r="421" spans="2:4" ht="13" x14ac:dyDescent="0.15">
      <c r="B421" s="3"/>
      <c r="C421" s="3"/>
      <c r="D421" s="3"/>
    </row>
    <row r="422" spans="2:4" ht="13" x14ac:dyDescent="0.15">
      <c r="B422" s="3"/>
      <c r="C422" s="3"/>
      <c r="D422" s="3"/>
    </row>
    <row r="423" spans="2:4" ht="13" x14ac:dyDescent="0.15">
      <c r="B423" s="3"/>
      <c r="C423" s="3"/>
      <c r="D423" s="3"/>
    </row>
    <row r="424" spans="2:4" ht="13" x14ac:dyDescent="0.15">
      <c r="B424" s="3"/>
      <c r="C424" s="3"/>
      <c r="D424" s="3"/>
    </row>
    <row r="425" spans="2:4" ht="13" x14ac:dyDescent="0.15">
      <c r="B425" s="3"/>
      <c r="C425" s="3"/>
      <c r="D425" s="3"/>
    </row>
    <row r="426" spans="2:4" ht="13" x14ac:dyDescent="0.15">
      <c r="B426" s="3"/>
      <c r="C426" s="3"/>
      <c r="D426" s="3"/>
    </row>
    <row r="427" spans="2:4" ht="13" x14ac:dyDescent="0.15">
      <c r="B427" s="3"/>
      <c r="C427" s="3"/>
      <c r="D427" s="3"/>
    </row>
    <row r="428" spans="2:4" ht="13" x14ac:dyDescent="0.15">
      <c r="B428" s="3"/>
      <c r="C428" s="3"/>
      <c r="D428" s="3"/>
    </row>
    <row r="429" spans="2:4" ht="13" x14ac:dyDescent="0.15">
      <c r="B429" s="3"/>
      <c r="C429" s="3"/>
      <c r="D429" s="3"/>
    </row>
    <row r="430" spans="2:4" ht="13" x14ac:dyDescent="0.15">
      <c r="B430" s="3"/>
      <c r="C430" s="3"/>
      <c r="D430" s="3"/>
    </row>
    <row r="431" spans="2:4" ht="13" x14ac:dyDescent="0.15">
      <c r="B431" s="3"/>
      <c r="C431" s="3"/>
      <c r="D431" s="3"/>
    </row>
    <row r="432" spans="2:4" ht="13" x14ac:dyDescent="0.15">
      <c r="B432" s="3"/>
      <c r="C432" s="3"/>
      <c r="D432" s="3"/>
    </row>
    <row r="433" spans="2:4" ht="13" x14ac:dyDescent="0.15">
      <c r="B433" s="3"/>
      <c r="C433" s="3"/>
      <c r="D433" s="3"/>
    </row>
    <row r="434" spans="2:4" ht="13" x14ac:dyDescent="0.15">
      <c r="B434" s="3"/>
      <c r="C434" s="3"/>
      <c r="D434" s="3"/>
    </row>
    <row r="435" spans="2:4" ht="13" x14ac:dyDescent="0.15">
      <c r="B435" s="3"/>
      <c r="C435" s="3"/>
      <c r="D435" s="3"/>
    </row>
    <row r="436" spans="2:4" ht="13" x14ac:dyDescent="0.15">
      <c r="B436" s="3"/>
      <c r="C436" s="3"/>
      <c r="D436" s="3"/>
    </row>
    <row r="437" spans="2:4" ht="13" x14ac:dyDescent="0.15">
      <c r="B437" s="3"/>
      <c r="C437" s="3"/>
      <c r="D437" s="3"/>
    </row>
    <row r="438" spans="2:4" ht="13" x14ac:dyDescent="0.15">
      <c r="B438" s="3"/>
      <c r="C438" s="3"/>
      <c r="D438" s="3"/>
    </row>
    <row r="439" spans="2:4" ht="13" x14ac:dyDescent="0.15">
      <c r="B439" s="3"/>
      <c r="C439" s="3"/>
      <c r="D439" s="3"/>
    </row>
    <row r="440" spans="2:4" ht="13" x14ac:dyDescent="0.15">
      <c r="B440" s="3"/>
      <c r="C440" s="3"/>
      <c r="D440" s="3"/>
    </row>
    <row r="441" spans="2:4" ht="13" x14ac:dyDescent="0.15">
      <c r="B441" s="3"/>
      <c r="C441" s="3"/>
      <c r="D441" s="3"/>
    </row>
    <row r="442" spans="2:4" ht="13" x14ac:dyDescent="0.15">
      <c r="B442" s="3"/>
      <c r="C442" s="3"/>
      <c r="D442" s="3"/>
    </row>
    <row r="443" spans="2:4" ht="13" x14ac:dyDescent="0.15">
      <c r="B443" s="3"/>
      <c r="C443" s="3"/>
      <c r="D443" s="3"/>
    </row>
    <row r="444" spans="2:4" ht="13" x14ac:dyDescent="0.15">
      <c r="B444" s="3"/>
      <c r="C444" s="3"/>
      <c r="D444" s="3"/>
    </row>
    <row r="445" spans="2:4" ht="13" x14ac:dyDescent="0.15">
      <c r="B445" s="3"/>
      <c r="C445" s="3"/>
      <c r="D445" s="3"/>
    </row>
    <row r="446" spans="2:4" ht="13" x14ac:dyDescent="0.15">
      <c r="B446" s="3"/>
      <c r="C446" s="3"/>
      <c r="D446" s="3"/>
    </row>
    <row r="447" spans="2:4" ht="13" x14ac:dyDescent="0.15">
      <c r="B447" s="3"/>
      <c r="C447" s="3"/>
      <c r="D447" s="3"/>
    </row>
    <row r="448" spans="2:4" ht="13" x14ac:dyDescent="0.15">
      <c r="B448" s="3"/>
      <c r="C448" s="3"/>
      <c r="D448" s="3"/>
    </row>
    <row r="449" spans="2:4" ht="13" x14ac:dyDescent="0.15">
      <c r="B449" s="3"/>
      <c r="C449" s="3"/>
      <c r="D449" s="3"/>
    </row>
    <row r="450" spans="2:4" ht="13" x14ac:dyDescent="0.15">
      <c r="B450" s="3"/>
      <c r="C450" s="3"/>
      <c r="D450" s="3"/>
    </row>
    <row r="451" spans="2:4" ht="13" x14ac:dyDescent="0.15">
      <c r="B451" s="3"/>
      <c r="C451" s="3"/>
      <c r="D451" s="3"/>
    </row>
    <row r="452" spans="2:4" ht="13" x14ac:dyDescent="0.15">
      <c r="B452" s="3"/>
      <c r="C452" s="3"/>
      <c r="D452" s="3"/>
    </row>
    <row r="453" spans="2:4" ht="13" x14ac:dyDescent="0.15">
      <c r="B453" s="3"/>
      <c r="C453" s="3"/>
      <c r="D453" s="3"/>
    </row>
    <row r="454" spans="2:4" ht="13" x14ac:dyDescent="0.15">
      <c r="B454" s="3"/>
      <c r="C454" s="3"/>
      <c r="D454" s="3"/>
    </row>
    <row r="455" spans="2:4" ht="13" x14ac:dyDescent="0.15">
      <c r="B455" s="3"/>
      <c r="C455" s="3"/>
      <c r="D455" s="3"/>
    </row>
    <row r="456" spans="2:4" ht="13" x14ac:dyDescent="0.15">
      <c r="B456" s="3"/>
      <c r="C456" s="3"/>
      <c r="D456" s="3"/>
    </row>
    <row r="457" spans="2:4" ht="13" x14ac:dyDescent="0.15">
      <c r="B457" s="3"/>
      <c r="C457" s="3"/>
      <c r="D457" s="3"/>
    </row>
    <row r="458" spans="2:4" ht="13" x14ac:dyDescent="0.15">
      <c r="B458" s="3"/>
      <c r="C458" s="3"/>
      <c r="D458" s="3"/>
    </row>
    <row r="459" spans="2:4" ht="13" x14ac:dyDescent="0.15">
      <c r="B459" s="3"/>
      <c r="C459" s="3"/>
      <c r="D459" s="3"/>
    </row>
    <row r="460" spans="2:4" ht="13" x14ac:dyDescent="0.15">
      <c r="B460" s="3"/>
      <c r="C460" s="3"/>
      <c r="D460" s="3"/>
    </row>
    <row r="461" spans="2:4" ht="13" x14ac:dyDescent="0.15">
      <c r="B461" s="3"/>
      <c r="C461" s="3"/>
      <c r="D461" s="3"/>
    </row>
    <row r="462" spans="2:4" ht="13" x14ac:dyDescent="0.15">
      <c r="B462" s="3"/>
      <c r="C462" s="3"/>
      <c r="D462" s="3"/>
    </row>
    <row r="463" spans="2:4" ht="13" x14ac:dyDescent="0.15">
      <c r="B463" s="3"/>
      <c r="C463" s="3"/>
      <c r="D463" s="3"/>
    </row>
    <row r="464" spans="2:4" ht="13" x14ac:dyDescent="0.15">
      <c r="B464" s="3"/>
      <c r="C464" s="3"/>
      <c r="D464" s="3"/>
    </row>
    <row r="465" spans="2:4" ht="13" x14ac:dyDescent="0.15">
      <c r="B465" s="3"/>
      <c r="C465" s="3"/>
      <c r="D465" s="3"/>
    </row>
    <row r="466" spans="2:4" ht="13" x14ac:dyDescent="0.15">
      <c r="B466" s="3"/>
      <c r="C466" s="3"/>
      <c r="D466" s="3"/>
    </row>
    <row r="467" spans="2:4" ht="13" x14ac:dyDescent="0.15">
      <c r="B467" s="3"/>
      <c r="C467" s="3"/>
      <c r="D467" s="3"/>
    </row>
    <row r="468" spans="2:4" ht="13" x14ac:dyDescent="0.15">
      <c r="B468" s="3"/>
      <c r="C468" s="3"/>
      <c r="D468" s="3"/>
    </row>
    <row r="469" spans="2:4" ht="13" x14ac:dyDescent="0.15">
      <c r="B469" s="3"/>
      <c r="C469" s="3"/>
      <c r="D469" s="3"/>
    </row>
    <row r="470" spans="2:4" ht="13" x14ac:dyDescent="0.15">
      <c r="B470" s="3"/>
      <c r="C470" s="3"/>
      <c r="D470" s="3"/>
    </row>
    <row r="471" spans="2:4" ht="13" x14ac:dyDescent="0.15">
      <c r="B471" s="3"/>
      <c r="C471" s="3"/>
      <c r="D471" s="3"/>
    </row>
    <row r="472" spans="2:4" ht="13" x14ac:dyDescent="0.15">
      <c r="B472" s="3"/>
      <c r="C472" s="3"/>
      <c r="D472" s="3"/>
    </row>
    <row r="473" spans="2:4" ht="13" x14ac:dyDescent="0.15">
      <c r="B473" s="3"/>
      <c r="C473" s="3"/>
      <c r="D473" s="3"/>
    </row>
    <row r="474" spans="2:4" ht="13" x14ac:dyDescent="0.15">
      <c r="B474" s="3"/>
      <c r="C474" s="3"/>
      <c r="D474" s="3"/>
    </row>
    <row r="475" spans="2:4" ht="13" x14ac:dyDescent="0.15">
      <c r="B475" s="3"/>
      <c r="C475" s="3"/>
      <c r="D475" s="3"/>
    </row>
    <row r="476" spans="2:4" ht="13" x14ac:dyDescent="0.15">
      <c r="B476" s="3"/>
      <c r="C476" s="3"/>
      <c r="D476" s="3"/>
    </row>
    <row r="477" spans="2:4" ht="13" x14ac:dyDescent="0.15">
      <c r="B477" s="3"/>
      <c r="C477" s="3"/>
      <c r="D477" s="3"/>
    </row>
    <row r="478" spans="2:4" ht="13" x14ac:dyDescent="0.15">
      <c r="B478" s="3"/>
      <c r="C478" s="3"/>
      <c r="D478" s="3"/>
    </row>
    <row r="479" spans="2:4" ht="13" x14ac:dyDescent="0.15">
      <c r="B479" s="3"/>
      <c r="C479" s="3"/>
      <c r="D479" s="3"/>
    </row>
    <row r="480" spans="2:4" ht="13" x14ac:dyDescent="0.15">
      <c r="B480" s="3"/>
      <c r="C480" s="3"/>
      <c r="D480" s="3"/>
    </row>
    <row r="481" spans="2:4" ht="13" x14ac:dyDescent="0.15">
      <c r="B481" s="3"/>
      <c r="C481" s="3"/>
      <c r="D481" s="3"/>
    </row>
    <row r="482" spans="2:4" ht="13" x14ac:dyDescent="0.15">
      <c r="B482" s="3"/>
      <c r="C482" s="3"/>
      <c r="D482" s="3"/>
    </row>
    <row r="483" spans="2:4" ht="13" x14ac:dyDescent="0.15">
      <c r="B483" s="3"/>
      <c r="C483" s="3"/>
      <c r="D483" s="3"/>
    </row>
    <row r="484" spans="2:4" ht="13" x14ac:dyDescent="0.15">
      <c r="B484" s="3"/>
      <c r="C484" s="3"/>
      <c r="D484" s="3"/>
    </row>
    <row r="485" spans="2:4" ht="13" x14ac:dyDescent="0.15">
      <c r="B485" s="3"/>
      <c r="C485" s="3"/>
      <c r="D485" s="3"/>
    </row>
    <row r="486" spans="2:4" ht="13" x14ac:dyDescent="0.15">
      <c r="B486" s="3"/>
      <c r="C486" s="3"/>
      <c r="D486" s="3"/>
    </row>
    <row r="487" spans="2:4" ht="13" x14ac:dyDescent="0.15">
      <c r="B487" s="3"/>
      <c r="C487" s="3"/>
      <c r="D487" s="3"/>
    </row>
    <row r="488" spans="2:4" ht="13" x14ac:dyDescent="0.15">
      <c r="B488" s="3"/>
      <c r="C488" s="3"/>
      <c r="D488" s="3"/>
    </row>
    <row r="489" spans="2:4" ht="13" x14ac:dyDescent="0.15">
      <c r="B489" s="3"/>
      <c r="C489" s="3"/>
      <c r="D489" s="3"/>
    </row>
    <row r="490" spans="2:4" ht="13" x14ac:dyDescent="0.15">
      <c r="B490" s="3"/>
      <c r="C490" s="3"/>
      <c r="D490" s="3"/>
    </row>
    <row r="491" spans="2:4" ht="13" x14ac:dyDescent="0.15">
      <c r="B491" s="3"/>
      <c r="C491" s="3"/>
      <c r="D491" s="3"/>
    </row>
    <row r="492" spans="2:4" ht="13" x14ac:dyDescent="0.15">
      <c r="B492" s="3"/>
      <c r="C492" s="3"/>
      <c r="D492" s="3"/>
    </row>
    <row r="493" spans="2:4" ht="13" x14ac:dyDescent="0.15">
      <c r="B493" s="3"/>
      <c r="C493" s="3"/>
      <c r="D493" s="3"/>
    </row>
    <row r="494" spans="2:4" ht="13" x14ac:dyDescent="0.15">
      <c r="B494" s="3"/>
      <c r="C494" s="3"/>
      <c r="D494" s="3"/>
    </row>
    <row r="495" spans="2:4" ht="13" x14ac:dyDescent="0.15">
      <c r="B495" s="3"/>
      <c r="C495" s="3"/>
      <c r="D495" s="3"/>
    </row>
    <row r="496" spans="2:4" ht="13" x14ac:dyDescent="0.15">
      <c r="B496" s="3"/>
      <c r="C496" s="3"/>
      <c r="D496" s="3"/>
    </row>
    <row r="497" spans="2:4" ht="13" x14ac:dyDescent="0.15">
      <c r="B497" s="3"/>
      <c r="C497" s="3"/>
      <c r="D497" s="3"/>
    </row>
    <row r="498" spans="2:4" ht="13" x14ac:dyDescent="0.15">
      <c r="B498" s="3"/>
      <c r="C498" s="3"/>
      <c r="D498" s="3"/>
    </row>
    <row r="499" spans="2:4" ht="13" x14ac:dyDescent="0.15">
      <c r="B499" s="3"/>
      <c r="C499" s="3"/>
      <c r="D499" s="3"/>
    </row>
    <row r="500" spans="2:4" ht="13" x14ac:dyDescent="0.15">
      <c r="B500" s="3"/>
      <c r="C500" s="3"/>
      <c r="D500" s="3"/>
    </row>
    <row r="501" spans="2:4" ht="13" x14ac:dyDescent="0.15">
      <c r="B501" s="3"/>
      <c r="C501" s="3"/>
      <c r="D501" s="3"/>
    </row>
    <row r="502" spans="2:4" ht="13" x14ac:dyDescent="0.15">
      <c r="B502" s="3"/>
      <c r="C502" s="3"/>
      <c r="D502" s="3"/>
    </row>
    <row r="503" spans="2:4" ht="13" x14ac:dyDescent="0.15">
      <c r="B503" s="3"/>
      <c r="C503" s="3"/>
      <c r="D503" s="3"/>
    </row>
    <row r="504" spans="2:4" ht="13" x14ac:dyDescent="0.15">
      <c r="B504" s="3"/>
      <c r="C504" s="3"/>
      <c r="D504" s="3"/>
    </row>
    <row r="505" spans="2:4" ht="13" x14ac:dyDescent="0.15">
      <c r="B505" s="3"/>
      <c r="C505" s="3"/>
      <c r="D505" s="3"/>
    </row>
    <row r="506" spans="2:4" ht="13" x14ac:dyDescent="0.15">
      <c r="B506" s="3"/>
      <c r="C506" s="3"/>
      <c r="D506" s="3"/>
    </row>
    <row r="507" spans="2:4" ht="13" x14ac:dyDescent="0.15">
      <c r="B507" s="3"/>
      <c r="C507" s="3"/>
      <c r="D507" s="3"/>
    </row>
    <row r="508" spans="2:4" ht="13" x14ac:dyDescent="0.15">
      <c r="B508" s="3"/>
      <c r="C508" s="3"/>
      <c r="D508" s="3"/>
    </row>
    <row r="509" spans="2:4" ht="13" x14ac:dyDescent="0.15">
      <c r="B509" s="3"/>
      <c r="C509" s="3"/>
      <c r="D509" s="3"/>
    </row>
    <row r="510" spans="2:4" ht="13" x14ac:dyDescent="0.15">
      <c r="B510" s="3"/>
      <c r="C510" s="3"/>
      <c r="D510" s="3"/>
    </row>
    <row r="511" spans="2:4" ht="13" x14ac:dyDescent="0.15">
      <c r="B511" s="3"/>
      <c r="C511" s="3"/>
      <c r="D511" s="3"/>
    </row>
    <row r="512" spans="2:4" ht="13" x14ac:dyDescent="0.15">
      <c r="B512" s="3"/>
      <c r="C512" s="3"/>
      <c r="D512" s="3"/>
    </row>
    <row r="513" spans="2:4" ht="13" x14ac:dyDescent="0.15">
      <c r="B513" s="3"/>
      <c r="C513" s="3"/>
      <c r="D513" s="3"/>
    </row>
    <row r="514" spans="2:4" ht="13" x14ac:dyDescent="0.15">
      <c r="B514" s="3"/>
      <c r="C514" s="3"/>
      <c r="D514" s="3"/>
    </row>
    <row r="515" spans="2:4" ht="13" x14ac:dyDescent="0.15">
      <c r="B515" s="3"/>
      <c r="C515" s="3"/>
      <c r="D515" s="3"/>
    </row>
    <row r="516" spans="2:4" ht="13" x14ac:dyDescent="0.15">
      <c r="B516" s="3"/>
      <c r="C516" s="3"/>
      <c r="D516" s="3"/>
    </row>
    <row r="517" spans="2:4" ht="13" x14ac:dyDescent="0.15">
      <c r="B517" s="3"/>
      <c r="C517" s="3"/>
      <c r="D517" s="3"/>
    </row>
    <row r="518" spans="2:4" ht="13" x14ac:dyDescent="0.15">
      <c r="B518" s="3"/>
      <c r="C518" s="3"/>
      <c r="D518" s="3"/>
    </row>
    <row r="519" spans="2:4" ht="13" x14ac:dyDescent="0.15">
      <c r="B519" s="3"/>
      <c r="C519" s="3"/>
      <c r="D519" s="3"/>
    </row>
    <row r="520" spans="2:4" ht="13" x14ac:dyDescent="0.15">
      <c r="B520" s="3"/>
      <c r="C520" s="3"/>
      <c r="D520" s="3"/>
    </row>
    <row r="521" spans="2:4" ht="13" x14ac:dyDescent="0.15">
      <c r="B521" s="3"/>
      <c r="C521" s="3"/>
      <c r="D521" s="3"/>
    </row>
    <row r="522" spans="2:4" ht="13" x14ac:dyDescent="0.15">
      <c r="B522" s="3"/>
      <c r="C522" s="3"/>
      <c r="D522" s="3"/>
    </row>
    <row r="523" spans="2:4" ht="13" x14ac:dyDescent="0.15">
      <c r="B523" s="3"/>
      <c r="C523" s="3"/>
      <c r="D523" s="3"/>
    </row>
    <row r="524" spans="2:4" ht="13" x14ac:dyDescent="0.15">
      <c r="B524" s="3"/>
      <c r="C524" s="3"/>
      <c r="D524" s="3"/>
    </row>
    <row r="525" spans="2:4" ht="13" x14ac:dyDescent="0.15">
      <c r="B525" s="3"/>
      <c r="C525" s="3"/>
      <c r="D525" s="3"/>
    </row>
    <row r="526" spans="2:4" ht="13" x14ac:dyDescent="0.15">
      <c r="B526" s="3"/>
      <c r="C526" s="3"/>
      <c r="D526" s="3"/>
    </row>
    <row r="527" spans="2:4" ht="13" x14ac:dyDescent="0.15">
      <c r="B527" s="3"/>
      <c r="C527" s="3"/>
      <c r="D527" s="3"/>
    </row>
    <row r="528" spans="2:4" ht="13" x14ac:dyDescent="0.15">
      <c r="B528" s="3"/>
      <c r="C528" s="3"/>
      <c r="D528" s="3"/>
    </row>
    <row r="529" spans="2:4" ht="13" x14ac:dyDescent="0.15">
      <c r="B529" s="3"/>
      <c r="C529" s="3"/>
      <c r="D529" s="3"/>
    </row>
    <row r="530" spans="2:4" ht="13" x14ac:dyDescent="0.15">
      <c r="B530" s="3"/>
      <c r="C530" s="3"/>
      <c r="D530" s="3"/>
    </row>
    <row r="531" spans="2:4" ht="13" x14ac:dyDescent="0.15">
      <c r="B531" s="3"/>
      <c r="C531" s="3"/>
      <c r="D531" s="3"/>
    </row>
    <row r="532" spans="2:4" ht="13" x14ac:dyDescent="0.15">
      <c r="B532" s="3"/>
      <c r="C532" s="3"/>
      <c r="D532" s="3"/>
    </row>
    <row r="533" spans="2:4" ht="13" x14ac:dyDescent="0.15">
      <c r="B533" s="3"/>
      <c r="C533" s="3"/>
      <c r="D533" s="3"/>
    </row>
    <row r="534" spans="2:4" ht="13" x14ac:dyDescent="0.15">
      <c r="B534" s="3"/>
      <c r="C534" s="3"/>
      <c r="D534" s="3"/>
    </row>
    <row r="535" spans="2:4" ht="13" x14ac:dyDescent="0.15">
      <c r="B535" s="3"/>
      <c r="C535" s="3"/>
      <c r="D535" s="3"/>
    </row>
    <row r="536" spans="2:4" ht="13" x14ac:dyDescent="0.15">
      <c r="B536" s="3"/>
      <c r="C536" s="3"/>
      <c r="D536" s="3"/>
    </row>
    <row r="537" spans="2:4" ht="13" x14ac:dyDescent="0.15">
      <c r="B537" s="3"/>
      <c r="C537" s="3"/>
      <c r="D537" s="3"/>
    </row>
    <row r="538" spans="2:4" ht="13" x14ac:dyDescent="0.15">
      <c r="B538" s="3"/>
      <c r="C538" s="3"/>
      <c r="D538" s="3"/>
    </row>
    <row r="539" spans="2:4" ht="13" x14ac:dyDescent="0.15">
      <c r="B539" s="3"/>
      <c r="C539" s="3"/>
      <c r="D539" s="3"/>
    </row>
    <row r="540" spans="2:4" ht="13" x14ac:dyDescent="0.15">
      <c r="B540" s="3"/>
      <c r="C540" s="3"/>
      <c r="D540" s="3"/>
    </row>
    <row r="541" spans="2:4" ht="13" x14ac:dyDescent="0.15">
      <c r="B541" s="3"/>
      <c r="C541" s="3"/>
      <c r="D541" s="3"/>
    </row>
    <row r="542" spans="2:4" ht="13" x14ac:dyDescent="0.15">
      <c r="B542" s="3"/>
      <c r="C542" s="3"/>
      <c r="D542" s="3"/>
    </row>
    <row r="543" spans="2:4" ht="13" x14ac:dyDescent="0.15">
      <c r="B543" s="3"/>
      <c r="C543" s="3"/>
      <c r="D543" s="3"/>
    </row>
    <row r="544" spans="2:4" ht="13" x14ac:dyDescent="0.15">
      <c r="B544" s="3"/>
      <c r="C544" s="3"/>
      <c r="D544" s="3"/>
    </row>
    <row r="545" spans="2:4" ht="13" x14ac:dyDescent="0.15">
      <c r="B545" s="3"/>
      <c r="C545" s="3"/>
      <c r="D545" s="3"/>
    </row>
    <row r="546" spans="2:4" ht="13" x14ac:dyDescent="0.15">
      <c r="B546" s="3"/>
      <c r="C546" s="3"/>
      <c r="D546" s="3"/>
    </row>
    <row r="547" spans="2:4" ht="13" x14ac:dyDescent="0.15">
      <c r="B547" s="3"/>
      <c r="C547" s="3"/>
      <c r="D547" s="3"/>
    </row>
    <row r="548" spans="2:4" ht="13" x14ac:dyDescent="0.15">
      <c r="B548" s="3"/>
      <c r="C548" s="3"/>
      <c r="D548" s="3"/>
    </row>
    <row r="549" spans="2:4" ht="13" x14ac:dyDescent="0.15">
      <c r="B549" s="3"/>
      <c r="C549" s="3"/>
      <c r="D549" s="3"/>
    </row>
    <row r="550" spans="2:4" ht="13" x14ac:dyDescent="0.15">
      <c r="B550" s="3"/>
      <c r="C550" s="3"/>
      <c r="D550" s="3"/>
    </row>
    <row r="551" spans="2:4" ht="13" x14ac:dyDescent="0.15">
      <c r="B551" s="3"/>
      <c r="C551" s="3"/>
      <c r="D551" s="3"/>
    </row>
    <row r="552" spans="2:4" ht="13" x14ac:dyDescent="0.15">
      <c r="B552" s="3"/>
      <c r="C552" s="3"/>
      <c r="D552" s="3"/>
    </row>
    <row r="553" spans="2:4" ht="13" x14ac:dyDescent="0.15">
      <c r="B553" s="3"/>
      <c r="C553" s="3"/>
      <c r="D553" s="3"/>
    </row>
    <row r="554" spans="2:4" ht="13" x14ac:dyDescent="0.15">
      <c r="B554" s="3"/>
      <c r="C554" s="3"/>
      <c r="D554" s="3"/>
    </row>
    <row r="555" spans="2:4" ht="13" x14ac:dyDescent="0.15">
      <c r="B555" s="3"/>
      <c r="C555" s="3"/>
      <c r="D555" s="3"/>
    </row>
    <row r="556" spans="2:4" ht="13" x14ac:dyDescent="0.15">
      <c r="B556" s="3"/>
      <c r="C556" s="3"/>
      <c r="D556" s="3"/>
    </row>
    <row r="557" spans="2:4" ht="13" x14ac:dyDescent="0.15">
      <c r="B557" s="3"/>
      <c r="C557" s="3"/>
      <c r="D557" s="3"/>
    </row>
    <row r="558" spans="2:4" ht="13" x14ac:dyDescent="0.15">
      <c r="B558" s="3"/>
      <c r="C558" s="3"/>
      <c r="D558" s="3"/>
    </row>
    <row r="559" spans="2:4" ht="13" x14ac:dyDescent="0.15">
      <c r="B559" s="3"/>
      <c r="C559" s="3"/>
      <c r="D559" s="3"/>
    </row>
    <row r="560" spans="2:4" ht="13" x14ac:dyDescent="0.15">
      <c r="B560" s="3"/>
      <c r="C560" s="3"/>
      <c r="D560" s="3"/>
    </row>
    <row r="561" spans="2:4" ht="13" x14ac:dyDescent="0.15">
      <c r="B561" s="3"/>
      <c r="C561" s="3"/>
      <c r="D561" s="3"/>
    </row>
    <row r="562" spans="2:4" ht="13" x14ac:dyDescent="0.15">
      <c r="B562" s="3"/>
      <c r="C562" s="3"/>
      <c r="D562" s="3"/>
    </row>
    <row r="563" spans="2:4" ht="13" x14ac:dyDescent="0.15">
      <c r="B563" s="3"/>
      <c r="C563" s="3"/>
      <c r="D563" s="3"/>
    </row>
    <row r="564" spans="2:4" ht="13" x14ac:dyDescent="0.15">
      <c r="B564" s="3"/>
      <c r="C564" s="3"/>
      <c r="D564" s="3"/>
    </row>
    <row r="565" spans="2:4" ht="13" x14ac:dyDescent="0.15">
      <c r="B565" s="3"/>
      <c r="C565" s="3"/>
      <c r="D565" s="3"/>
    </row>
    <row r="566" spans="2:4" ht="13" x14ac:dyDescent="0.15">
      <c r="B566" s="3"/>
      <c r="C566" s="3"/>
      <c r="D566" s="3"/>
    </row>
    <row r="567" spans="2:4" ht="13" x14ac:dyDescent="0.15">
      <c r="B567" s="3"/>
      <c r="C567" s="3"/>
      <c r="D567" s="3"/>
    </row>
    <row r="568" spans="2:4" ht="13" x14ac:dyDescent="0.15">
      <c r="B568" s="3"/>
      <c r="C568" s="3"/>
      <c r="D568" s="3"/>
    </row>
    <row r="569" spans="2:4" ht="13" x14ac:dyDescent="0.15">
      <c r="B569" s="3"/>
      <c r="C569" s="3"/>
      <c r="D569" s="3"/>
    </row>
    <row r="570" spans="2:4" ht="13" x14ac:dyDescent="0.15">
      <c r="B570" s="3"/>
      <c r="C570" s="3"/>
      <c r="D570" s="3"/>
    </row>
    <row r="571" spans="2:4" ht="13" x14ac:dyDescent="0.15">
      <c r="B571" s="3"/>
      <c r="C571" s="3"/>
      <c r="D571" s="3"/>
    </row>
    <row r="572" spans="2:4" ht="13" x14ac:dyDescent="0.15">
      <c r="B572" s="3"/>
      <c r="C572" s="3"/>
      <c r="D572" s="3"/>
    </row>
    <row r="573" spans="2:4" ht="13" x14ac:dyDescent="0.15">
      <c r="B573" s="3"/>
      <c r="C573" s="3"/>
      <c r="D573" s="3"/>
    </row>
    <row r="574" spans="2:4" ht="13" x14ac:dyDescent="0.15">
      <c r="B574" s="3"/>
      <c r="C574" s="3"/>
      <c r="D574" s="3"/>
    </row>
    <row r="575" spans="2:4" ht="13" x14ac:dyDescent="0.15">
      <c r="B575" s="3"/>
      <c r="C575" s="3"/>
      <c r="D575" s="3"/>
    </row>
    <row r="576" spans="2:4" ht="13" x14ac:dyDescent="0.15">
      <c r="B576" s="3"/>
      <c r="C576" s="3"/>
      <c r="D576" s="3"/>
    </row>
    <row r="577" spans="2:4" ht="13" x14ac:dyDescent="0.15">
      <c r="B577" s="3"/>
      <c r="C577" s="3"/>
      <c r="D577" s="3"/>
    </row>
    <row r="578" spans="2:4" ht="13" x14ac:dyDescent="0.15">
      <c r="B578" s="3"/>
      <c r="C578" s="3"/>
      <c r="D578" s="3"/>
    </row>
    <row r="579" spans="2:4" ht="13" x14ac:dyDescent="0.15">
      <c r="B579" s="3"/>
      <c r="C579" s="3"/>
      <c r="D579" s="3"/>
    </row>
    <row r="580" spans="2:4" ht="13" x14ac:dyDescent="0.15">
      <c r="B580" s="3"/>
      <c r="C580" s="3"/>
      <c r="D580" s="3"/>
    </row>
    <row r="581" spans="2:4" ht="13" x14ac:dyDescent="0.15">
      <c r="B581" s="3"/>
      <c r="C581" s="3"/>
      <c r="D581" s="3"/>
    </row>
    <row r="582" spans="2:4" ht="13" x14ac:dyDescent="0.15">
      <c r="B582" s="3"/>
      <c r="C582" s="3"/>
      <c r="D582" s="3"/>
    </row>
    <row r="583" spans="2:4" ht="13" x14ac:dyDescent="0.15">
      <c r="B583" s="3"/>
      <c r="C583" s="3"/>
      <c r="D583" s="3"/>
    </row>
    <row r="584" spans="2:4" ht="13" x14ac:dyDescent="0.15">
      <c r="B584" s="3"/>
      <c r="C584" s="3"/>
      <c r="D584" s="3"/>
    </row>
    <row r="585" spans="2:4" ht="13" x14ac:dyDescent="0.15">
      <c r="B585" s="3"/>
      <c r="C585" s="3"/>
      <c r="D585" s="3"/>
    </row>
    <row r="586" spans="2:4" ht="13" x14ac:dyDescent="0.15">
      <c r="B586" s="3"/>
      <c r="C586" s="3"/>
      <c r="D586" s="3"/>
    </row>
    <row r="587" spans="2:4" ht="13" x14ac:dyDescent="0.15">
      <c r="B587" s="3"/>
      <c r="C587" s="3"/>
      <c r="D587" s="3"/>
    </row>
    <row r="588" spans="2:4" ht="13" x14ac:dyDescent="0.15">
      <c r="B588" s="3"/>
      <c r="C588" s="3"/>
      <c r="D588" s="3"/>
    </row>
    <row r="589" spans="2:4" ht="13" x14ac:dyDescent="0.15">
      <c r="B589" s="3"/>
      <c r="C589" s="3"/>
      <c r="D589" s="3"/>
    </row>
    <row r="590" spans="2:4" ht="13" x14ac:dyDescent="0.15">
      <c r="B590" s="3"/>
      <c r="C590" s="3"/>
      <c r="D590" s="3"/>
    </row>
    <row r="591" spans="2:4" ht="13" x14ac:dyDescent="0.15">
      <c r="B591" s="3"/>
      <c r="C591" s="3"/>
      <c r="D591" s="3"/>
    </row>
    <row r="592" spans="2:4" ht="13" x14ac:dyDescent="0.15">
      <c r="B592" s="3"/>
      <c r="C592" s="3"/>
      <c r="D592" s="3"/>
    </row>
    <row r="593" spans="2:4" ht="13" x14ac:dyDescent="0.15">
      <c r="B593" s="3"/>
      <c r="C593" s="3"/>
      <c r="D593" s="3"/>
    </row>
    <row r="594" spans="2:4" ht="13" x14ac:dyDescent="0.15">
      <c r="B594" s="3"/>
      <c r="C594" s="3"/>
      <c r="D594" s="3"/>
    </row>
    <row r="595" spans="2:4" ht="13" x14ac:dyDescent="0.15">
      <c r="B595" s="3"/>
      <c r="C595" s="3"/>
      <c r="D595" s="3"/>
    </row>
    <row r="596" spans="2:4" ht="13" x14ac:dyDescent="0.15">
      <c r="B596" s="3"/>
      <c r="C596" s="3"/>
      <c r="D596" s="3"/>
    </row>
    <row r="597" spans="2:4" ht="13" x14ac:dyDescent="0.15">
      <c r="B597" s="3"/>
      <c r="C597" s="3"/>
      <c r="D597" s="3"/>
    </row>
    <row r="598" spans="2:4" ht="13" x14ac:dyDescent="0.15">
      <c r="B598" s="3"/>
      <c r="C598" s="3"/>
      <c r="D598" s="3"/>
    </row>
    <row r="599" spans="2:4" ht="13" x14ac:dyDescent="0.15">
      <c r="B599" s="3"/>
      <c r="C599" s="3"/>
      <c r="D599" s="3"/>
    </row>
    <row r="600" spans="2:4" ht="13" x14ac:dyDescent="0.15">
      <c r="B600" s="3"/>
      <c r="C600" s="3"/>
      <c r="D600" s="3"/>
    </row>
    <row r="601" spans="2:4" ht="13" x14ac:dyDescent="0.15">
      <c r="B601" s="3"/>
      <c r="C601" s="3"/>
      <c r="D601" s="3"/>
    </row>
    <row r="602" spans="2:4" ht="13" x14ac:dyDescent="0.15">
      <c r="B602" s="3"/>
      <c r="C602" s="3"/>
      <c r="D602" s="3"/>
    </row>
    <row r="603" spans="2:4" ht="13" x14ac:dyDescent="0.15">
      <c r="B603" s="3"/>
      <c r="C603" s="3"/>
      <c r="D603" s="3"/>
    </row>
    <row r="604" spans="2:4" ht="13" x14ac:dyDescent="0.15">
      <c r="B604" s="3"/>
      <c r="C604" s="3"/>
      <c r="D604" s="3"/>
    </row>
    <row r="605" spans="2:4" ht="13" x14ac:dyDescent="0.15">
      <c r="B605" s="3"/>
      <c r="C605" s="3"/>
      <c r="D605" s="3"/>
    </row>
    <row r="606" spans="2:4" ht="13" x14ac:dyDescent="0.15">
      <c r="B606" s="3"/>
      <c r="C606" s="3"/>
      <c r="D606" s="3"/>
    </row>
    <row r="607" spans="2:4" ht="13" x14ac:dyDescent="0.15">
      <c r="B607" s="3"/>
      <c r="C607" s="3"/>
      <c r="D607" s="3"/>
    </row>
    <row r="608" spans="2:4" ht="13" x14ac:dyDescent="0.15">
      <c r="B608" s="3"/>
      <c r="C608" s="3"/>
      <c r="D608" s="3"/>
    </row>
    <row r="609" spans="2:4" ht="13" x14ac:dyDescent="0.15">
      <c r="B609" s="3"/>
      <c r="C609" s="3"/>
      <c r="D609" s="3"/>
    </row>
    <row r="610" spans="2:4" ht="13" x14ac:dyDescent="0.15">
      <c r="B610" s="3"/>
      <c r="C610" s="3"/>
      <c r="D610" s="3"/>
    </row>
    <row r="611" spans="2:4" ht="13" x14ac:dyDescent="0.15">
      <c r="B611" s="3"/>
      <c r="C611" s="3"/>
      <c r="D611" s="3"/>
    </row>
    <row r="612" spans="2:4" ht="13" x14ac:dyDescent="0.15">
      <c r="B612" s="3"/>
      <c r="C612" s="3"/>
      <c r="D612" s="3"/>
    </row>
    <row r="613" spans="2:4" ht="13" x14ac:dyDescent="0.15">
      <c r="B613" s="3"/>
      <c r="C613" s="3"/>
      <c r="D613" s="3"/>
    </row>
    <row r="614" spans="2:4" ht="13" x14ac:dyDescent="0.15">
      <c r="B614" s="3"/>
      <c r="C614" s="3"/>
      <c r="D614" s="3"/>
    </row>
    <row r="615" spans="2:4" ht="13" x14ac:dyDescent="0.15">
      <c r="B615" s="3"/>
      <c r="C615" s="3"/>
      <c r="D615" s="3"/>
    </row>
    <row r="616" spans="2:4" ht="13" x14ac:dyDescent="0.15">
      <c r="B616" s="3"/>
      <c r="C616" s="3"/>
      <c r="D616" s="3"/>
    </row>
    <row r="617" spans="2:4" ht="13" x14ac:dyDescent="0.15">
      <c r="B617" s="3"/>
      <c r="C617" s="3"/>
      <c r="D617" s="3"/>
    </row>
    <row r="618" spans="2:4" ht="13" x14ac:dyDescent="0.15">
      <c r="B618" s="3"/>
      <c r="C618" s="3"/>
      <c r="D618" s="3"/>
    </row>
    <row r="619" spans="2:4" ht="13" x14ac:dyDescent="0.15">
      <c r="B619" s="3"/>
      <c r="C619" s="3"/>
      <c r="D619" s="3"/>
    </row>
    <row r="620" spans="2:4" ht="13" x14ac:dyDescent="0.15">
      <c r="B620" s="3"/>
      <c r="C620" s="3"/>
      <c r="D620" s="3"/>
    </row>
    <row r="621" spans="2:4" ht="13" x14ac:dyDescent="0.15">
      <c r="B621" s="3"/>
      <c r="C621" s="3"/>
      <c r="D621" s="3"/>
    </row>
    <row r="622" spans="2:4" ht="13" x14ac:dyDescent="0.15">
      <c r="B622" s="3"/>
      <c r="C622" s="3"/>
      <c r="D622" s="3"/>
    </row>
    <row r="623" spans="2:4" ht="13" x14ac:dyDescent="0.15">
      <c r="B623" s="3"/>
      <c r="C623" s="3"/>
      <c r="D623" s="3"/>
    </row>
    <row r="624" spans="2:4" ht="13" x14ac:dyDescent="0.15">
      <c r="B624" s="3"/>
      <c r="C624" s="3"/>
      <c r="D624" s="3"/>
    </row>
    <row r="625" spans="2:4" ht="13" x14ac:dyDescent="0.15">
      <c r="B625" s="3"/>
      <c r="C625" s="3"/>
      <c r="D625" s="3"/>
    </row>
    <row r="626" spans="2:4" ht="13" x14ac:dyDescent="0.15">
      <c r="B626" s="3"/>
      <c r="C626" s="3"/>
      <c r="D626" s="3"/>
    </row>
    <row r="627" spans="2:4" ht="13" x14ac:dyDescent="0.15">
      <c r="B627" s="3"/>
      <c r="C627" s="3"/>
      <c r="D627" s="3"/>
    </row>
    <row r="628" spans="2:4" ht="13" x14ac:dyDescent="0.15">
      <c r="B628" s="3"/>
      <c r="C628" s="3"/>
      <c r="D628" s="3"/>
    </row>
    <row r="629" spans="2:4" ht="13" x14ac:dyDescent="0.15">
      <c r="B629" s="3"/>
      <c r="C629" s="3"/>
      <c r="D629" s="3"/>
    </row>
    <row r="630" spans="2:4" ht="13" x14ac:dyDescent="0.15">
      <c r="B630" s="3"/>
      <c r="C630" s="3"/>
      <c r="D630" s="3"/>
    </row>
    <row r="631" spans="2:4" ht="13" x14ac:dyDescent="0.15">
      <c r="B631" s="3"/>
      <c r="C631" s="3"/>
      <c r="D631" s="3"/>
    </row>
    <row r="632" spans="2:4" ht="13" x14ac:dyDescent="0.15">
      <c r="B632" s="3"/>
      <c r="C632" s="3"/>
      <c r="D632" s="3"/>
    </row>
    <row r="633" spans="2:4" ht="13" x14ac:dyDescent="0.15">
      <c r="B633" s="3"/>
      <c r="C633" s="3"/>
      <c r="D633" s="3"/>
    </row>
    <row r="634" spans="2:4" ht="13" x14ac:dyDescent="0.15">
      <c r="B634" s="3"/>
      <c r="C634" s="3"/>
      <c r="D634" s="3"/>
    </row>
    <row r="635" spans="2:4" ht="13" x14ac:dyDescent="0.15">
      <c r="B635" s="3"/>
      <c r="C635" s="3"/>
      <c r="D635" s="3"/>
    </row>
    <row r="636" spans="2:4" ht="13" x14ac:dyDescent="0.15">
      <c r="B636" s="3"/>
      <c r="C636" s="3"/>
      <c r="D636" s="3"/>
    </row>
    <row r="637" spans="2:4" ht="13" x14ac:dyDescent="0.15">
      <c r="B637" s="3"/>
      <c r="C637" s="3"/>
      <c r="D637" s="3"/>
    </row>
    <row r="638" spans="2:4" ht="13" x14ac:dyDescent="0.15">
      <c r="B638" s="3"/>
      <c r="C638" s="3"/>
      <c r="D638" s="3"/>
    </row>
    <row r="639" spans="2:4" ht="13" x14ac:dyDescent="0.15">
      <c r="B639" s="3"/>
      <c r="C639" s="3"/>
      <c r="D639" s="3"/>
    </row>
    <row r="640" spans="2:4" ht="13" x14ac:dyDescent="0.15">
      <c r="B640" s="3"/>
      <c r="C640" s="3"/>
      <c r="D640" s="3"/>
    </row>
    <row r="641" spans="2:4" ht="13" x14ac:dyDescent="0.15">
      <c r="B641" s="3"/>
      <c r="C641" s="3"/>
      <c r="D641" s="3"/>
    </row>
    <row r="642" spans="2:4" ht="13" x14ac:dyDescent="0.15">
      <c r="B642" s="3"/>
      <c r="C642" s="3"/>
      <c r="D642" s="3"/>
    </row>
    <row r="643" spans="2:4" ht="13" x14ac:dyDescent="0.15">
      <c r="B643" s="3"/>
      <c r="C643" s="3"/>
      <c r="D643" s="3"/>
    </row>
    <row r="644" spans="2:4" ht="13" x14ac:dyDescent="0.15">
      <c r="B644" s="3"/>
      <c r="C644" s="3"/>
      <c r="D644" s="3"/>
    </row>
    <row r="645" spans="2:4" ht="13" x14ac:dyDescent="0.15">
      <c r="B645" s="3"/>
      <c r="C645" s="3"/>
      <c r="D645" s="3"/>
    </row>
    <row r="646" spans="2:4" ht="13" x14ac:dyDescent="0.15">
      <c r="B646" s="3"/>
      <c r="C646" s="3"/>
      <c r="D646" s="3"/>
    </row>
    <row r="647" spans="2:4" ht="13" x14ac:dyDescent="0.15">
      <c r="B647" s="3"/>
      <c r="C647" s="3"/>
      <c r="D647" s="3"/>
    </row>
    <row r="648" spans="2:4" ht="13" x14ac:dyDescent="0.15">
      <c r="B648" s="3"/>
      <c r="C648" s="3"/>
      <c r="D648" s="3"/>
    </row>
    <row r="649" spans="2:4" ht="13" x14ac:dyDescent="0.15">
      <c r="B649" s="3"/>
      <c r="C649" s="3"/>
      <c r="D649" s="3"/>
    </row>
    <row r="650" spans="2:4" ht="13" x14ac:dyDescent="0.15">
      <c r="B650" s="3"/>
      <c r="C650" s="3"/>
      <c r="D650" s="3"/>
    </row>
    <row r="651" spans="2:4" ht="13" x14ac:dyDescent="0.15">
      <c r="B651" s="3"/>
      <c r="C651" s="3"/>
      <c r="D651" s="3"/>
    </row>
    <row r="652" spans="2:4" ht="13" x14ac:dyDescent="0.15">
      <c r="B652" s="3"/>
      <c r="C652" s="3"/>
      <c r="D652" s="3"/>
    </row>
    <row r="653" spans="2:4" ht="13" x14ac:dyDescent="0.15">
      <c r="B653" s="3"/>
      <c r="C653" s="3"/>
      <c r="D653" s="3"/>
    </row>
    <row r="654" spans="2:4" ht="13" x14ac:dyDescent="0.15">
      <c r="B654" s="3"/>
      <c r="C654" s="3"/>
      <c r="D654" s="3"/>
    </row>
    <row r="655" spans="2:4" ht="13" x14ac:dyDescent="0.15">
      <c r="B655" s="3"/>
      <c r="C655" s="3"/>
      <c r="D655" s="3"/>
    </row>
    <row r="656" spans="2:4" ht="13" x14ac:dyDescent="0.15">
      <c r="B656" s="3"/>
      <c r="C656" s="3"/>
      <c r="D656" s="3"/>
    </row>
    <row r="657" spans="2:4" ht="13" x14ac:dyDescent="0.15">
      <c r="B657" s="3"/>
      <c r="C657" s="3"/>
      <c r="D657" s="3"/>
    </row>
    <row r="658" spans="2:4" ht="13" x14ac:dyDescent="0.15">
      <c r="B658" s="3"/>
      <c r="C658" s="3"/>
      <c r="D658" s="3"/>
    </row>
    <row r="659" spans="2:4" ht="13" x14ac:dyDescent="0.15">
      <c r="B659" s="3"/>
      <c r="C659" s="3"/>
      <c r="D659" s="3"/>
    </row>
    <row r="660" spans="2:4" ht="13" x14ac:dyDescent="0.15">
      <c r="B660" s="3"/>
      <c r="C660" s="3"/>
      <c r="D660" s="3"/>
    </row>
    <row r="661" spans="2:4" ht="13" x14ac:dyDescent="0.15">
      <c r="B661" s="3"/>
      <c r="C661" s="3"/>
      <c r="D661" s="3"/>
    </row>
    <row r="662" spans="2:4" ht="13" x14ac:dyDescent="0.15">
      <c r="B662" s="3"/>
      <c r="C662" s="3"/>
      <c r="D662" s="3"/>
    </row>
    <row r="663" spans="2:4" ht="13" x14ac:dyDescent="0.15">
      <c r="B663" s="3"/>
      <c r="C663" s="3"/>
      <c r="D663" s="3"/>
    </row>
    <row r="664" spans="2:4" ht="13" x14ac:dyDescent="0.15">
      <c r="B664" s="3"/>
      <c r="C664" s="3"/>
      <c r="D664" s="3"/>
    </row>
    <row r="665" spans="2:4" ht="13" x14ac:dyDescent="0.15">
      <c r="B665" s="3"/>
      <c r="C665" s="3"/>
      <c r="D665" s="3"/>
    </row>
    <row r="666" spans="2:4" ht="13" x14ac:dyDescent="0.15">
      <c r="B666" s="3"/>
      <c r="C666" s="3"/>
      <c r="D666" s="3"/>
    </row>
    <row r="667" spans="2:4" ht="13" x14ac:dyDescent="0.15">
      <c r="B667" s="3"/>
      <c r="C667" s="3"/>
      <c r="D667" s="3"/>
    </row>
    <row r="668" spans="2:4" ht="13" x14ac:dyDescent="0.15">
      <c r="B668" s="3"/>
      <c r="C668" s="3"/>
      <c r="D668" s="3"/>
    </row>
    <row r="669" spans="2:4" ht="13" x14ac:dyDescent="0.15">
      <c r="B669" s="3"/>
      <c r="C669" s="3"/>
      <c r="D669" s="3"/>
    </row>
    <row r="670" spans="2:4" ht="13" x14ac:dyDescent="0.15">
      <c r="B670" s="3"/>
      <c r="C670" s="3"/>
      <c r="D670" s="3"/>
    </row>
    <row r="671" spans="2:4" ht="13" x14ac:dyDescent="0.15">
      <c r="B671" s="3"/>
      <c r="C671" s="3"/>
      <c r="D671" s="3"/>
    </row>
    <row r="672" spans="2:4" ht="13" x14ac:dyDescent="0.15">
      <c r="B672" s="3"/>
      <c r="C672" s="3"/>
      <c r="D672" s="3"/>
    </row>
    <row r="673" spans="2:4" ht="13" x14ac:dyDescent="0.15">
      <c r="B673" s="3"/>
      <c r="C673" s="3"/>
      <c r="D673" s="3"/>
    </row>
    <row r="674" spans="2:4" ht="13" x14ac:dyDescent="0.15">
      <c r="B674" s="3"/>
      <c r="C674" s="3"/>
      <c r="D674" s="3"/>
    </row>
    <row r="675" spans="2:4" ht="13" x14ac:dyDescent="0.15">
      <c r="B675" s="3"/>
      <c r="C675" s="3"/>
      <c r="D675" s="3"/>
    </row>
    <row r="676" spans="2:4" ht="13" x14ac:dyDescent="0.15">
      <c r="B676" s="3"/>
      <c r="C676" s="3"/>
      <c r="D676" s="3"/>
    </row>
    <row r="677" spans="2:4" ht="13" x14ac:dyDescent="0.15">
      <c r="B677" s="3"/>
      <c r="C677" s="3"/>
      <c r="D677" s="3"/>
    </row>
    <row r="678" spans="2:4" ht="13" x14ac:dyDescent="0.15">
      <c r="B678" s="3"/>
      <c r="C678" s="3"/>
      <c r="D678" s="3"/>
    </row>
    <row r="679" spans="2:4" ht="13" x14ac:dyDescent="0.15">
      <c r="B679" s="3"/>
      <c r="C679" s="3"/>
      <c r="D679" s="3"/>
    </row>
    <row r="680" spans="2:4" ht="13" x14ac:dyDescent="0.15">
      <c r="B680" s="3"/>
      <c r="C680" s="3"/>
      <c r="D680" s="3"/>
    </row>
    <row r="681" spans="2:4" ht="13" x14ac:dyDescent="0.15">
      <c r="B681" s="3"/>
      <c r="C681" s="3"/>
      <c r="D681" s="3"/>
    </row>
    <row r="682" spans="2:4" ht="13" x14ac:dyDescent="0.15">
      <c r="B682" s="3"/>
      <c r="C682" s="3"/>
      <c r="D682" s="3"/>
    </row>
    <row r="683" spans="2:4" ht="13" x14ac:dyDescent="0.15">
      <c r="B683" s="3"/>
      <c r="C683" s="3"/>
      <c r="D683" s="3"/>
    </row>
    <row r="684" spans="2:4" ht="13" x14ac:dyDescent="0.15">
      <c r="B684" s="3"/>
      <c r="C684" s="3"/>
      <c r="D684" s="3"/>
    </row>
    <row r="685" spans="2:4" ht="13" x14ac:dyDescent="0.15">
      <c r="B685" s="3"/>
      <c r="C685" s="3"/>
      <c r="D685" s="3"/>
    </row>
    <row r="686" spans="2:4" ht="13" x14ac:dyDescent="0.15">
      <c r="B686" s="3"/>
      <c r="C686" s="3"/>
      <c r="D686" s="3"/>
    </row>
    <row r="687" spans="2:4" ht="13" x14ac:dyDescent="0.15">
      <c r="B687" s="3"/>
      <c r="C687" s="3"/>
      <c r="D687" s="3"/>
    </row>
    <row r="688" spans="2:4" ht="13" x14ac:dyDescent="0.15">
      <c r="B688" s="3"/>
      <c r="C688" s="3"/>
      <c r="D688" s="3"/>
    </row>
    <row r="689" spans="2:4" ht="13" x14ac:dyDescent="0.15">
      <c r="B689" s="3"/>
      <c r="C689" s="3"/>
      <c r="D689" s="3"/>
    </row>
    <row r="690" spans="2:4" ht="13" x14ac:dyDescent="0.15">
      <c r="B690" s="3"/>
      <c r="C690" s="3"/>
      <c r="D690" s="3"/>
    </row>
    <row r="691" spans="2:4" ht="13" x14ac:dyDescent="0.15">
      <c r="B691" s="3"/>
      <c r="C691" s="3"/>
      <c r="D691" s="3"/>
    </row>
    <row r="692" spans="2:4" ht="13" x14ac:dyDescent="0.15">
      <c r="B692" s="3"/>
      <c r="C692" s="3"/>
      <c r="D692" s="3"/>
    </row>
    <row r="693" spans="2:4" ht="13" x14ac:dyDescent="0.15">
      <c r="B693" s="3"/>
      <c r="C693" s="3"/>
      <c r="D693" s="3"/>
    </row>
    <row r="694" spans="2:4" ht="13" x14ac:dyDescent="0.15">
      <c r="B694" s="3"/>
      <c r="C694" s="3"/>
      <c r="D694" s="3"/>
    </row>
    <row r="695" spans="2:4" ht="13" x14ac:dyDescent="0.15">
      <c r="B695" s="3"/>
      <c r="C695" s="3"/>
      <c r="D695" s="3"/>
    </row>
    <row r="696" spans="2:4" ht="13" x14ac:dyDescent="0.15">
      <c r="B696" s="3"/>
      <c r="C696" s="3"/>
      <c r="D696" s="3"/>
    </row>
    <row r="697" spans="2:4" ht="13" x14ac:dyDescent="0.15">
      <c r="B697" s="3"/>
      <c r="C697" s="3"/>
      <c r="D697" s="3"/>
    </row>
    <row r="698" spans="2:4" ht="13" x14ac:dyDescent="0.15">
      <c r="B698" s="3"/>
      <c r="C698" s="3"/>
      <c r="D698" s="3"/>
    </row>
    <row r="699" spans="2:4" ht="13" x14ac:dyDescent="0.15">
      <c r="B699" s="3"/>
      <c r="C699" s="3"/>
      <c r="D699" s="3"/>
    </row>
    <row r="700" spans="2:4" ht="13" x14ac:dyDescent="0.15">
      <c r="B700" s="3"/>
      <c r="C700" s="3"/>
      <c r="D700" s="3"/>
    </row>
    <row r="701" spans="2:4" ht="13" x14ac:dyDescent="0.15">
      <c r="B701" s="3"/>
      <c r="C701" s="3"/>
      <c r="D701" s="3"/>
    </row>
    <row r="702" spans="2:4" ht="13" x14ac:dyDescent="0.15">
      <c r="B702" s="3"/>
      <c r="C702" s="3"/>
      <c r="D702" s="3"/>
    </row>
    <row r="703" spans="2:4" ht="13" x14ac:dyDescent="0.15">
      <c r="B703" s="3"/>
      <c r="C703" s="3"/>
      <c r="D703" s="3"/>
    </row>
    <row r="704" spans="2:4" ht="13" x14ac:dyDescent="0.15">
      <c r="B704" s="3"/>
      <c r="C704" s="3"/>
      <c r="D704" s="3"/>
    </row>
    <row r="705" spans="2:4" ht="13" x14ac:dyDescent="0.15">
      <c r="B705" s="3"/>
      <c r="C705" s="3"/>
      <c r="D705" s="3"/>
    </row>
    <row r="706" spans="2:4" ht="13" x14ac:dyDescent="0.15">
      <c r="B706" s="3"/>
      <c r="C706" s="3"/>
      <c r="D706" s="3"/>
    </row>
    <row r="707" spans="2:4" ht="13" x14ac:dyDescent="0.15">
      <c r="B707" s="3"/>
      <c r="C707" s="3"/>
      <c r="D707" s="3"/>
    </row>
    <row r="708" spans="2:4" ht="13" x14ac:dyDescent="0.15">
      <c r="B708" s="3"/>
      <c r="C708" s="3"/>
      <c r="D708" s="3"/>
    </row>
    <row r="709" spans="2:4" ht="13" x14ac:dyDescent="0.15">
      <c r="B709" s="3"/>
      <c r="C709" s="3"/>
      <c r="D709" s="3"/>
    </row>
    <row r="710" spans="2:4" ht="13" x14ac:dyDescent="0.15">
      <c r="B710" s="3"/>
      <c r="C710" s="3"/>
      <c r="D710" s="3"/>
    </row>
    <row r="711" spans="2:4" ht="13" x14ac:dyDescent="0.15">
      <c r="B711" s="3"/>
      <c r="C711" s="3"/>
      <c r="D711" s="3"/>
    </row>
    <row r="712" spans="2:4" ht="13" x14ac:dyDescent="0.15">
      <c r="B712" s="3"/>
      <c r="C712" s="3"/>
      <c r="D712" s="3"/>
    </row>
    <row r="713" spans="2:4" ht="13" x14ac:dyDescent="0.15">
      <c r="B713" s="3"/>
      <c r="C713" s="3"/>
      <c r="D713" s="3"/>
    </row>
    <row r="714" spans="2:4" ht="13" x14ac:dyDescent="0.15">
      <c r="B714" s="3"/>
      <c r="C714" s="3"/>
      <c r="D714" s="3"/>
    </row>
    <row r="715" spans="2:4" ht="13" x14ac:dyDescent="0.15">
      <c r="B715" s="3"/>
      <c r="C715" s="3"/>
      <c r="D715" s="3"/>
    </row>
    <row r="716" spans="2:4" ht="13" x14ac:dyDescent="0.15">
      <c r="B716" s="3"/>
      <c r="C716" s="3"/>
      <c r="D716" s="3"/>
    </row>
    <row r="717" spans="2:4" ht="13" x14ac:dyDescent="0.15">
      <c r="B717" s="3"/>
      <c r="C717" s="3"/>
      <c r="D717" s="3"/>
    </row>
    <row r="718" spans="2:4" ht="13" x14ac:dyDescent="0.15">
      <c r="B718" s="3"/>
      <c r="C718" s="3"/>
      <c r="D718" s="3"/>
    </row>
    <row r="719" spans="2:4" ht="13" x14ac:dyDescent="0.15">
      <c r="B719" s="3"/>
      <c r="C719" s="3"/>
      <c r="D719" s="3"/>
    </row>
    <row r="720" spans="2:4" ht="13" x14ac:dyDescent="0.15">
      <c r="B720" s="3"/>
      <c r="C720" s="3"/>
      <c r="D720" s="3"/>
    </row>
    <row r="721" spans="2:4" ht="13" x14ac:dyDescent="0.15">
      <c r="B721" s="3"/>
      <c r="C721" s="3"/>
      <c r="D721" s="3"/>
    </row>
    <row r="722" spans="2:4" ht="13" x14ac:dyDescent="0.15">
      <c r="B722" s="3"/>
      <c r="C722" s="3"/>
      <c r="D722" s="3"/>
    </row>
    <row r="723" spans="2:4" ht="13" x14ac:dyDescent="0.15">
      <c r="B723" s="3"/>
      <c r="C723" s="3"/>
      <c r="D723" s="3"/>
    </row>
    <row r="724" spans="2:4" ht="13" x14ac:dyDescent="0.15">
      <c r="B724" s="3"/>
      <c r="C724" s="3"/>
      <c r="D724" s="3"/>
    </row>
    <row r="725" spans="2:4" ht="13" x14ac:dyDescent="0.15">
      <c r="B725" s="3"/>
      <c r="C725" s="3"/>
      <c r="D725" s="3"/>
    </row>
    <row r="726" spans="2:4" ht="13" x14ac:dyDescent="0.15">
      <c r="B726" s="3"/>
      <c r="C726" s="3"/>
      <c r="D726" s="3"/>
    </row>
    <row r="727" spans="2:4" ht="13" x14ac:dyDescent="0.15">
      <c r="B727" s="3"/>
      <c r="C727" s="3"/>
      <c r="D727" s="3"/>
    </row>
    <row r="728" spans="2:4" ht="13" x14ac:dyDescent="0.15">
      <c r="B728" s="3"/>
      <c r="C728" s="3"/>
      <c r="D728" s="3"/>
    </row>
    <row r="729" spans="2:4" ht="13" x14ac:dyDescent="0.15">
      <c r="B729" s="3"/>
      <c r="C729" s="3"/>
      <c r="D729" s="3"/>
    </row>
    <row r="730" spans="2:4" ht="13" x14ac:dyDescent="0.15">
      <c r="B730" s="3"/>
      <c r="C730" s="3"/>
      <c r="D730" s="3"/>
    </row>
    <row r="731" spans="2:4" ht="13" x14ac:dyDescent="0.15">
      <c r="B731" s="3"/>
      <c r="C731" s="3"/>
      <c r="D731" s="3"/>
    </row>
    <row r="732" spans="2:4" ht="13" x14ac:dyDescent="0.15">
      <c r="B732" s="3"/>
      <c r="C732" s="3"/>
      <c r="D732" s="3"/>
    </row>
    <row r="733" spans="2:4" ht="13" x14ac:dyDescent="0.15">
      <c r="B733" s="3"/>
      <c r="C733" s="3"/>
      <c r="D733" s="3"/>
    </row>
    <row r="734" spans="2:4" ht="13" x14ac:dyDescent="0.15">
      <c r="B734" s="3"/>
      <c r="C734" s="3"/>
      <c r="D734" s="3"/>
    </row>
    <row r="735" spans="2:4" ht="13" x14ac:dyDescent="0.15">
      <c r="B735" s="3"/>
      <c r="C735" s="3"/>
      <c r="D735" s="3"/>
    </row>
    <row r="736" spans="2:4" ht="13" x14ac:dyDescent="0.15">
      <c r="B736" s="3"/>
      <c r="C736" s="3"/>
      <c r="D736" s="3"/>
    </row>
    <row r="737" spans="2:4" ht="13" x14ac:dyDescent="0.15">
      <c r="B737" s="3"/>
      <c r="C737" s="3"/>
      <c r="D737" s="3"/>
    </row>
    <row r="738" spans="2:4" ht="13" x14ac:dyDescent="0.15">
      <c r="B738" s="3"/>
      <c r="C738" s="3"/>
      <c r="D738" s="3"/>
    </row>
    <row r="739" spans="2:4" ht="13" x14ac:dyDescent="0.15">
      <c r="B739" s="3"/>
      <c r="C739" s="3"/>
      <c r="D739" s="3"/>
    </row>
    <row r="740" spans="2:4" ht="13" x14ac:dyDescent="0.15">
      <c r="B740" s="3"/>
      <c r="C740" s="3"/>
      <c r="D740" s="3"/>
    </row>
    <row r="741" spans="2:4" ht="13" x14ac:dyDescent="0.15">
      <c r="B741" s="3"/>
      <c r="C741" s="3"/>
      <c r="D741" s="3"/>
    </row>
    <row r="742" spans="2:4" ht="13" x14ac:dyDescent="0.15">
      <c r="B742" s="3"/>
      <c r="C742" s="3"/>
      <c r="D742" s="3"/>
    </row>
    <row r="743" spans="2:4" ht="13" x14ac:dyDescent="0.15">
      <c r="B743" s="3"/>
      <c r="C743" s="3"/>
      <c r="D743" s="3"/>
    </row>
    <row r="744" spans="2:4" ht="13" x14ac:dyDescent="0.15">
      <c r="B744" s="3"/>
      <c r="C744" s="3"/>
      <c r="D744" s="3"/>
    </row>
    <row r="745" spans="2:4" ht="13" x14ac:dyDescent="0.15">
      <c r="B745" s="3"/>
      <c r="C745" s="3"/>
      <c r="D745" s="3"/>
    </row>
    <row r="746" spans="2:4" ht="13" x14ac:dyDescent="0.15">
      <c r="B746" s="3"/>
      <c r="C746" s="3"/>
      <c r="D746" s="3"/>
    </row>
    <row r="747" spans="2:4" ht="13" x14ac:dyDescent="0.15">
      <c r="B747" s="3"/>
      <c r="C747" s="3"/>
      <c r="D747" s="3"/>
    </row>
    <row r="748" spans="2:4" ht="13" x14ac:dyDescent="0.15">
      <c r="B748" s="3"/>
      <c r="C748" s="3"/>
      <c r="D748" s="3"/>
    </row>
    <row r="749" spans="2:4" ht="13" x14ac:dyDescent="0.15">
      <c r="B749" s="3"/>
      <c r="C749" s="3"/>
      <c r="D749" s="3"/>
    </row>
    <row r="750" spans="2:4" ht="13" x14ac:dyDescent="0.15">
      <c r="B750" s="3"/>
      <c r="C750" s="3"/>
      <c r="D750" s="3"/>
    </row>
    <row r="751" spans="2:4" ht="13" x14ac:dyDescent="0.15">
      <c r="B751" s="3"/>
      <c r="C751" s="3"/>
      <c r="D751" s="3"/>
    </row>
    <row r="752" spans="2:4" ht="13" x14ac:dyDescent="0.15">
      <c r="B752" s="3"/>
      <c r="C752" s="3"/>
      <c r="D752" s="3"/>
    </row>
    <row r="753" spans="2:4" ht="13" x14ac:dyDescent="0.15">
      <c r="B753" s="3"/>
      <c r="C753" s="3"/>
      <c r="D753" s="3"/>
    </row>
    <row r="754" spans="2:4" ht="13" x14ac:dyDescent="0.15">
      <c r="B754" s="3"/>
      <c r="C754" s="3"/>
      <c r="D754" s="3"/>
    </row>
    <row r="755" spans="2:4" ht="13" x14ac:dyDescent="0.15">
      <c r="B755" s="3"/>
      <c r="C755" s="3"/>
      <c r="D755" s="3"/>
    </row>
    <row r="756" spans="2:4" ht="13" x14ac:dyDescent="0.15">
      <c r="B756" s="3"/>
      <c r="C756" s="3"/>
      <c r="D756" s="3"/>
    </row>
    <row r="757" spans="2:4" ht="13" x14ac:dyDescent="0.15">
      <c r="B757" s="3"/>
      <c r="C757" s="3"/>
      <c r="D757" s="3"/>
    </row>
    <row r="758" spans="2:4" ht="13" x14ac:dyDescent="0.15">
      <c r="B758" s="3"/>
      <c r="C758" s="3"/>
      <c r="D758" s="3"/>
    </row>
    <row r="759" spans="2:4" ht="13" x14ac:dyDescent="0.15">
      <c r="B759" s="3"/>
      <c r="C759" s="3"/>
      <c r="D759" s="3"/>
    </row>
    <row r="760" spans="2:4" ht="13" x14ac:dyDescent="0.15">
      <c r="B760" s="3"/>
      <c r="C760" s="3"/>
      <c r="D760" s="3"/>
    </row>
    <row r="761" spans="2:4" ht="13" x14ac:dyDescent="0.15">
      <c r="B761" s="3"/>
      <c r="C761" s="3"/>
      <c r="D761" s="3"/>
    </row>
    <row r="762" spans="2:4" ht="13" x14ac:dyDescent="0.15">
      <c r="B762" s="3"/>
      <c r="C762" s="3"/>
      <c r="D762" s="3"/>
    </row>
    <row r="763" spans="2:4" ht="13" x14ac:dyDescent="0.15">
      <c r="B763" s="3"/>
      <c r="C763" s="3"/>
      <c r="D763" s="3"/>
    </row>
    <row r="764" spans="2:4" ht="13" x14ac:dyDescent="0.15">
      <c r="B764" s="3"/>
      <c r="C764" s="3"/>
      <c r="D764" s="3"/>
    </row>
    <row r="765" spans="2:4" ht="13" x14ac:dyDescent="0.15">
      <c r="B765" s="3"/>
      <c r="C765" s="3"/>
      <c r="D765" s="3"/>
    </row>
    <row r="766" spans="2:4" ht="13" x14ac:dyDescent="0.15">
      <c r="B766" s="3"/>
      <c r="C766" s="3"/>
      <c r="D766" s="3"/>
    </row>
    <row r="767" spans="2:4" ht="13" x14ac:dyDescent="0.15">
      <c r="B767" s="3"/>
      <c r="C767" s="3"/>
      <c r="D767" s="3"/>
    </row>
    <row r="768" spans="2:4" ht="13" x14ac:dyDescent="0.15">
      <c r="B768" s="3"/>
      <c r="C768" s="3"/>
      <c r="D768" s="3"/>
    </row>
    <row r="769" spans="2:4" ht="13" x14ac:dyDescent="0.15">
      <c r="B769" s="3"/>
      <c r="C769" s="3"/>
      <c r="D769" s="3"/>
    </row>
    <row r="770" spans="2:4" ht="13" x14ac:dyDescent="0.15">
      <c r="B770" s="3"/>
      <c r="C770" s="3"/>
      <c r="D770" s="3"/>
    </row>
    <row r="771" spans="2:4" ht="13" x14ac:dyDescent="0.15">
      <c r="B771" s="3"/>
      <c r="C771" s="3"/>
      <c r="D771" s="3"/>
    </row>
    <row r="772" spans="2:4" ht="13" x14ac:dyDescent="0.15">
      <c r="B772" s="3"/>
      <c r="C772" s="3"/>
      <c r="D772" s="3"/>
    </row>
    <row r="773" spans="2:4" ht="13" x14ac:dyDescent="0.15">
      <c r="B773" s="3"/>
      <c r="C773" s="3"/>
      <c r="D773" s="3"/>
    </row>
    <row r="774" spans="2:4" ht="13" x14ac:dyDescent="0.15">
      <c r="B774" s="3"/>
      <c r="C774" s="3"/>
      <c r="D774" s="3"/>
    </row>
    <row r="775" spans="2:4" ht="13" x14ac:dyDescent="0.15">
      <c r="B775" s="3"/>
      <c r="C775" s="3"/>
      <c r="D775" s="3"/>
    </row>
    <row r="776" spans="2:4" ht="13" x14ac:dyDescent="0.15">
      <c r="B776" s="3"/>
      <c r="C776" s="3"/>
      <c r="D776" s="3"/>
    </row>
    <row r="777" spans="2:4" ht="13" x14ac:dyDescent="0.15">
      <c r="B777" s="3"/>
      <c r="C777" s="3"/>
      <c r="D777" s="3"/>
    </row>
    <row r="778" spans="2:4" ht="13" x14ac:dyDescent="0.15">
      <c r="B778" s="3"/>
      <c r="C778" s="3"/>
      <c r="D778" s="3"/>
    </row>
    <row r="779" spans="2:4" ht="13" x14ac:dyDescent="0.15">
      <c r="B779" s="3"/>
      <c r="C779" s="3"/>
      <c r="D779" s="3"/>
    </row>
    <row r="780" spans="2:4" ht="13" x14ac:dyDescent="0.15">
      <c r="B780" s="3"/>
      <c r="C780" s="3"/>
      <c r="D780" s="3"/>
    </row>
    <row r="781" spans="2:4" ht="13" x14ac:dyDescent="0.15">
      <c r="B781" s="3"/>
      <c r="C781" s="3"/>
      <c r="D781" s="3"/>
    </row>
    <row r="782" spans="2:4" ht="13" x14ac:dyDescent="0.15">
      <c r="B782" s="3"/>
      <c r="C782" s="3"/>
      <c r="D782" s="3"/>
    </row>
    <row r="783" spans="2:4" ht="13" x14ac:dyDescent="0.15">
      <c r="B783" s="3"/>
      <c r="C783" s="3"/>
      <c r="D783" s="3"/>
    </row>
    <row r="784" spans="2:4" ht="13" x14ac:dyDescent="0.15">
      <c r="B784" s="3"/>
      <c r="C784" s="3"/>
      <c r="D784" s="3"/>
    </row>
    <row r="785" spans="2:4" ht="13" x14ac:dyDescent="0.15">
      <c r="B785" s="3"/>
      <c r="C785" s="3"/>
      <c r="D785" s="3"/>
    </row>
    <row r="786" spans="2:4" ht="13" x14ac:dyDescent="0.15">
      <c r="B786" s="3"/>
      <c r="C786" s="3"/>
      <c r="D786" s="3"/>
    </row>
    <row r="787" spans="2:4" ht="13" x14ac:dyDescent="0.15">
      <c r="B787" s="3"/>
      <c r="C787" s="3"/>
      <c r="D787" s="3"/>
    </row>
    <row r="788" spans="2:4" ht="13" x14ac:dyDescent="0.15">
      <c r="B788" s="3"/>
      <c r="C788" s="3"/>
      <c r="D788" s="3"/>
    </row>
    <row r="789" spans="2:4" ht="13" x14ac:dyDescent="0.15">
      <c r="B789" s="3"/>
      <c r="C789" s="3"/>
      <c r="D789" s="3"/>
    </row>
    <row r="790" spans="2:4" ht="13" x14ac:dyDescent="0.15">
      <c r="B790" s="3"/>
      <c r="C790" s="3"/>
      <c r="D790" s="3"/>
    </row>
    <row r="791" spans="2:4" ht="13" x14ac:dyDescent="0.15">
      <c r="B791" s="3"/>
      <c r="C791" s="3"/>
      <c r="D791" s="3"/>
    </row>
    <row r="792" spans="2:4" ht="13" x14ac:dyDescent="0.15">
      <c r="B792" s="3"/>
      <c r="C792" s="3"/>
      <c r="D792" s="3"/>
    </row>
    <row r="793" spans="2:4" ht="13" x14ac:dyDescent="0.15">
      <c r="B793" s="3"/>
      <c r="C793" s="3"/>
      <c r="D793" s="3"/>
    </row>
    <row r="794" spans="2:4" ht="13" x14ac:dyDescent="0.15">
      <c r="B794" s="3"/>
      <c r="C794" s="3"/>
      <c r="D794" s="3"/>
    </row>
    <row r="795" spans="2:4" ht="13" x14ac:dyDescent="0.15">
      <c r="B795" s="3"/>
      <c r="C795" s="3"/>
      <c r="D795" s="3"/>
    </row>
    <row r="796" spans="2:4" ht="13" x14ac:dyDescent="0.15">
      <c r="B796" s="3"/>
      <c r="C796" s="3"/>
      <c r="D796" s="3"/>
    </row>
    <row r="797" spans="2:4" ht="13" x14ac:dyDescent="0.15">
      <c r="B797" s="3"/>
      <c r="C797" s="3"/>
      <c r="D797" s="3"/>
    </row>
    <row r="798" spans="2:4" ht="13" x14ac:dyDescent="0.15">
      <c r="B798" s="3"/>
      <c r="C798" s="3"/>
      <c r="D798" s="3"/>
    </row>
    <row r="799" spans="2:4" ht="13" x14ac:dyDescent="0.15">
      <c r="B799" s="3"/>
      <c r="C799" s="3"/>
      <c r="D799" s="3"/>
    </row>
    <row r="800" spans="2:4" ht="13" x14ac:dyDescent="0.15">
      <c r="B800" s="3"/>
      <c r="C800" s="3"/>
      <c r="D800" s="3"/>
    </row>
    <row r="801" spans="2:4" ht="13" x14ac:dyDescent="0.15">
      <c r="B801" s="3"/>
      <c r="C801" s="3"/>
      <c r="D801" s="3"/>
    </row>
    <row r="802" spans="2:4" ht="13" x14ac:dyDescent="0.15">
      <c r="B802" s="3"/>
      <c r="C802" s="3"/>
      <c r="D802" s="3"/>
    </row>
    <row r="803" spans="2:4" ht="13" x14ac:dyDescent="0.15">
      <c r="B803" s="3"/>
      <c r="C803" s="3"/>
      <c r="D803" s="3"/>
    </row>
    <row r="804" spans="2:4" ht="13" x14ac:dyDescent="0.15">
      <c r="B804" s="3"/>
      <c r="C804" s="3"/>
      <c r="D804" s="3"/>
    </row>
    <row r="805" spans="2:4" ht="13" x14ac:dyDescent="0.15">
      <c r="B805" s="3"/>
      <c r="C805" s="3"/>
      <c r="D805" s="3"/>
    </row>
    <row r="806" spans="2:4" ht="13" x14ac:dyDescent="0.15">
      <c r="B806" s="3"/>
      <c r="C806" s="3"/>
      <c r="D806" s="3"/>
    </row>
    <row r="807" spans="2:4" ht="13" x14ac:dyDescent="0.15">
      <c r="B807" s="3"/>
      <c r="C807" s="3"/>
      <c r="D807" s="3"/>
    </row>
    <row r="808" spans="2:4" ht="13" x14ac:dyDescent="0.15">
      <c r="B808" s="3"/>
      <c r="C808" s="3"/>
      <c r="D808" s="3"/>
    </row>
    <row r="809" spans="2:4" ht="13" x14ac:dyDescent="0.15">
      <c r="B809" s="3"/>
      <c r="C809" s="3"/>
      <c r="D809" s="3"/>
    </row>
    <row r="810" spans="2:4" ht="13" x14ac:dyDescent="0.15">
      <c r="B810" s="3"/>
      <c r="C810" s="3"/>
      <c r="D810" s="3"/>
    </row>
    <row r="811" spans="2:4" ht="13" x14ac:dyDescent="0.15">
      <c r="B811" s="3"/>
      <c r="C811" s="3"/>
      <c r="D811" s="3"/>
    </row>
    <row r="812" spans="2:4" ht="13" x14ac:dyDescent="0.15">
      <c r="B812" s="3"/>
      <c r="C812" s="3"/>
      <c r="D812" s="3"/>
    </row>
    <row r="813" spans="2:4" ht="13" x14ac:dyDescent="0.15">
      <c r="B813" s="3"/>
      <c r="C813" s="3"/>
      <c r="D813" s="3"/>
    </row>
    <row r="814" spans="2:4" ht="13" x14ac:dyDescent="0.15">
      <c r="B814" s="3"/>
      <c r="C814" s="3"/>
      <c r="D814" s="3"/>
    </row>
    <row r="815" spans="2:4" ht="13" x14ac:dyDescent="0.15">
      <c r="B815" s="3"/>
      <c r="C815" s="3"/>
      <c r="D815" s="3"/>
    </row>
    <row r="816" spans="2:4" ht="13" x14ac:dyDescent="0.15">
      <c r="B816" s="3"/>
      <c r="C816" s="3"/>
      <c r="D816" s="3"/>
    </row>
    <row r="817" spans="2:4" ht="13" x14ac:dyDescent="0.15">
      <c r="B817" s="3"/>
      <c r="C817" s="3"/>
      <c r="D817" s="3"/>
    </row>
    <row r="818" spans="2:4" ht="13" x14ac:dyDescent="0.15">
      <c r="B818" s="3"/>
      <c r="C818" s="3"/>
      <c r="D818" s="3"/>
    </row>
    <row r="819" spans="2:4" ht="13" x14ac:dyDescent="0.15">
      <c r="B819" s="3"/>
      <c r="C819" s="3"/>
      <c r="D819" s="3"/>
    </row>
    <row r="820" spans="2:4" ht="13" x14ac:dyDescent="0.15">
      <c r="B820" s="3"/>
      <c r="C820" s="3"/>
      <c r="D820" s="3"/>
    </row>
    <row r="821" spans="2:4" ht="13" x14ac:dyDescent="0.15">
      <c r="B821" s="3"/>
      <c r="C821" s="3"/>
      <c r="D821" s="3"/>
    </row>
    <row r="822" spans="2:4" ht="13" x14ac:dyDescent="0.15">
      <c r="B822" s="3"/>
      <c r="C822" s="3"/>
      <c r="D822" s="3"/>
    </row>
    <row r="823" spans="2:4" ht="13" x14ac:dyDescent="0.15">
      <c r="B823" s="3"/>
      <c r="C823" s="3"/>
      <c r="D823" s="3"/>
    </row>
    <row r="824" spans="2:4" ht="13" x14ac:dyDescent="0.15">
      <c r="B824" s="3"/>
      <c r="C824" s="3"/>
      <c r="D824" s="3"/>
    </row>
    <row r="825" spans="2:4" ht="13" x14ac:dyDescent="0.15">
      <c r="B825" s="3"/>
      <c r="C825" s="3"/>
      <c r="D825" s="3"/>
    </row>
    <row r="826" spans="2:4" ht="13" x14ac:dyDescent="0.15">
      <c r="B826" s="3"/>
      <c r="C826" s="3"/>
      <c r="D826" s="3"/>
    </row>
    <row r="827" spans="2:4" ht="13" x14ac:dyDescent="0.15">
      <c r="B827" s="3"/>
      <c r="C827" s="3"/>
      <c r="D827" s="3"/>
    </row>
    <row r="828" spans="2:4" ht="13" x14ac:dyDescent="0.15">
      <c r="B828" s="3"/>
      <c r="C828" s="3"/>
      <c r="D828" s="3"/>
    </row>
    <row r="829" spans="2:4" ht="13" x14ac:dyDescent="0.15">
      <c r="B829" s="3"/>
      <c r="C829" s="3"/>
      <c r="D829" s="3"/>
    </row>
    <row r="830" spans="2:4" ht="13" x14ac:dyDescent="0.15">
      <c r="B830" s="3"/>
      <c r="C830" s="3"/>
      <c r="D830" s="3"/>
    </row>
    <row r="831" spans="2:4" ht="13" x14ac:dyDescent="0.15">
      <c r="B831" s="3"/>
      <c r="C831" s="3"/>
      <c r="D831" s="3"/>
    </row>
    <row r="832" spans="2:4" ht="13" x14ac:dyDescent="0.15">
      <c r="B832" s="3"/>
      <c r="C832" s="3"/>
      <c r="D832" s="3"/>
    </row>
    <row r="833" spans="2:4" ht="13" x14ac:dyDescent="0.15">
      <c r="B833" s="3"/>
      <c r="C833" s="3"/>
      <c r="D833" s="3"/>
    </row>
    <row r="834" spans="2:4" ht="13" x14ac:dyDescent="0.15">
      <c r="B834" s="3"/>
      <c r="C834" s="3"/>
      <c r="D834" s="3"/>
    </row>
    <row r="835" spans="2:4" ht="13" x14ac:dyDescent="0.15">
      <c r="B835" s="3"/>
      <c r="C835" s="3"/>
      <c r="D835" s="3"/>
    </row>
    <row r="836" spans="2:4" ht="13" x14ac:dyDescent="0.15">
      <c r="B836" s="3"/>
      <c r="C836" s="3"/>
      <c r="D836" s="3"/>
    </row>
    <row r="837" spans="2:4" ht="13" x14ac:dyDescent="0.15">
      <c r="B837" s="3"/>
      <c r="C837" s="3"/>
      <c r="D837" s="3"/>
    </row>
    <row r="838" spans="2:4" ht="13" x14ac:dyDescent="0.15">
      <c r="B838" s="3"/>
      <c r="C838" s="3"/>
      <c r="D838" s="3"/>
    </row>
    <row r="839" spans="2:4" ht="13" x14ac:dyDescent="0.15">
      <c r="B839" s="3"/>
      <c r="C839" s="3"/>
      <c r="D839" s="3"/>
    </row>
    <row r="840" spans="2:4" ht="13" x14ac:dyDescent="0.15">
      <c r="B840" s="3"/>
      <c r="C840" s="3"/>
      <c r="D840" s="3"/>
    </row>
    <row r="841" spans="2:4" ht="13" x14ac:dyDescent="0.15">
      <c r="B841" s="3"/>
      <c r="C841" s="3"/>
      <c r="D841" s="3"/>
    </row>
    <row r="842" spans="2:4" ht="13" x14ac:dyDescent="0.15">
      <c r="B842" s="3"/>
      <c r="C842" s="3"/>
      <c r="D842" s="3"/>
    </row>
    <row r="843" spans="2:4" ht="13" x14ac:dyDescent="0.15">
      <c r="B843" s="3"/>
      <c r="C843" s="3"/>
      <c r="D843" s="3"/>
    </row>
    <row r="844" spans="2:4" ht="13" x14ac:dyDescent="0.15">
      <c r="B844" s="3"/>
      <c r="C844" s="3"/>
      <c r="D844" s="3"/>
    </row>
    <row r="845" spans="2:4" ht="13" x14ac:dyDescent="0.15">
      <c r="B845" s="3"/>
      <c r="C845" s="3"/>
      <c r="D845" s="3"/>
    </row>
    <row r="846" spans="2:4" ht="13" x14ac:dyDescent="0.15">
      <c r="B846" s="3"/>
      <c r="C846" s="3"/>
      <c r="D846" s="3"/>
    </row>
    <row r="847" spans="2:4" ht="13" x14ac:dyDescent="0.15">
      <c r="B847" s="3"/>
      <c r="C847" s="3"/>
      <c r="D847" s="3"/>
    </row>
    <row r="848" spans="2:4" ht="13" x14ac:dyDescent="0.15">
      <c r="B848" s="3"/>
      <c r="C848" s="3"/>
      <c r="D848" s="3"/>
    </row>
    <row r="849" spans="2:4" ht="13" x14ac:dyDescent="0.15">
      <c r="B849" s="3"/>
      <c r="C849" s="3"/>
      <c r="D849" s="3"/>
    </row>
    <row r="850" spans="2:4" ht="13" x14ac:dyDescent="0.15">
      <c r="B850" s="3"/>
      <c r="C850" s="3"/>
      <c r="D850" s="3"/>
    </row>
    <row r="851" spans="2:4" ht="13" x14ac:dyDescent="0.15">
      <c r="B851" s="3"/>
      <c r="C851" s="3"/>
      <c r="D851" s="3"/>
    </row>
    <row r="852" spans="2:4" ht="13" x14ac:dyDescent="0.15">
      <c r="B852" s="3"/>
      <c r="C852" s="3"/>
      <c r="D852" s="3"/>
    </row>
    <row r="853" spans="2:4" ht="13" x14ac:dyDescent="0.15">
      <c r="B853" s="3"/>
      <c r="C853" s="3"/>
      <c r="D853" s="3"/>
    </row>
    <row r="854" spans="2:4" ht="13" x14ac:dyDescent="0.15">
      <c r="B854" s="3"/>
      <c r="C854" s="3"/>
      <c r="D854" s="3"/>
    </row>
    <row r="855" spans="2:4" ht="13" x14ac:dyDescent="0.15">
      <c r="B855" s="3"/>
      <c r="C855" s="3"/>
      <c r="D855" s="3"/>
    </row>
    <row r="856" spans="2:4" ht="13" x14ac:dyDescent="0.15">
      <c r="B856" s="3"/>
      <c r="C856" s="3"/>
      <c r="D856" s="3"/>
    </row>
    <row r="857" spans="2:4" ht="13" x14ac:dyDescent="0.15">
      <c r="B857" s="3"/>
      <c r="C857" s="3"/>
      <c r="D857" s="3"/>
    </row>
    <row r="858" spans="2:4" ht="13" x14ac:dyDescent="0.15">
      <c r="B858" s="3"/>
      <c r="C858" s="3"/>
      <c r="D858" s="3"/>
    </row>
    <row r="859" spans="2:4" ht="13" x14ac:dyDescent="0.15">
      <c r="B859" s="3"/>
      <c r="C859" s="3"/>
      <c r="D859" s="3"/>
    </row>
    <row r="860" spans="2:4" ht="13" x14ac:dyDescent="0.15">
      <c r="B860" s="3"/>
      <c r="C860" s="3"/>
      <c r="D860" s="3"/>
    </row>
    <row r="861" spans="2:4" ht="13" x14ac:dyDescent="0.15">
      <c r="B861" s="3"/>
      <c r="C861" s="3"/>
      <c r="D861" s="3"/>
    </row>
    <row r="862" spans="2:4" ht="13" x14ac:dyDescent="0.15">
      <c r="B862" s="3"/>
      <c r="C862" s="3"/>
      <c r="D862" s="3"/>
    </row>
    <row r="863" spans="2:4" ht="13" x14ac:dyDescent="0.15">
      <c r="B863" s="3"/>
      <c r="C863" s="3"/>
      <c r="D863" s="3"/>
    </row>
    <row r="864" spans="2:4" ht="13" x14ac:dyDescent="0.15">
      <c r="B864" s="3"/>
      <c r="C864" s="3"/>
      <c r="D864" s="3"/>
    </row>
    <row r="865" spans="2:4" ht="13" x14ac:dyDescent="0.15">
      <c r="B865" s="3"/>
      <c r="C865" s="3"/>
      <c r="D865" s="3"/>
    </row>
    <row r="866" spans="2:4" ht="13" x14ac:dyDescent="0.15">
      <c r="B866" s="3"/>
      <c r="C866" s="3"/>
      <c r="D866" s="3"/>
    </row>
    <row r="867" spans="2:4" ht="13" x14ac:dyDescent="0.15">
      <c r="B867" s="3"/>
      <c r="C867" s="3"/>
      <c r="D867" s="3"/>
    </row>
    <row r="868" spans="2:4" ht="13" x14ac:dyDescent="0.15">
      <c r="B868" s="3"/>
      <c r="C868" s="3"/>
      <c r="D868" s="3"/>
    </row>
    <row r="869" spans="2:4" ht="13" x14ac:dyDescent="0.15">
      <c r="B869" s="3"/>
      <c r="C869" s="3"/>
      <c r="D869" s="3"/>
    </row>
    <row r="870" spans="2:4" ht="13" x14ac:dyDescent="0.15">
      <c r="B870" s="3"/>
      <c r="C870" s="3"/>
      <c r="D870" s="3"/>
    </row>
    <row r="871" spans="2:4" ht="13" x14ac:dyDescent="0.15">
      <c r="B871" s="3"/>
      <c r="C871" s="3"/>
      <c r="D871" s="3"/>
    </row>
    <row r="872" spans="2:4" ht="13" x14ac:dyDescent="0.15">
      <c r="B872" s="3"/>
      <c r="C872" s="3"/>
      <c r="D872" s="3"/>
    </row>
    <row r="873" spans="2:4" ht="13" x14ac:dyDescent="0.15">
      <c r="B873" s="3"/>
      <c r="C873" s="3"/>
      <c r="D873" s="3"/>
    </row>
    <row r="874" spans="2:4" ht="13" x14ac:dyDescent="0.15">
      <c r="B874" s="3"/>
      <c r="C874" s="3"/>
      <c r="D874" s="3"/>
    </row>
    <row r="875" spans="2:4" ht="13" x14ac:dyDescent="0.15">
      <c r="B875" s="3"/>
      <c r="C875" s="3"/>
      <c r="D875" s="3"/>
    </row>
    <row r="876" spans="2:4" ht="13" x14ac:dyDescent="0.15">
      <c r="B876" s="3"/>
      <c r="C876" s="3"/>
      <c r="D876" s="3"/>
    </row>
    <row r="877" spans="2:4" ht="13" x14ac:dyDescent="0.15">
      <c r="B877" s="3"/>
      <c r="C877" s="3"/>
      <c r="D877" s="3"/>
    </row>
    <row r="878" spans="2:4" ht="13" x14ac:dyDescent="0.15">
      <c r="B878" s="3"/>
      <c r="C878" s="3"/>
      <c r="D878" s="3"/>
    </row>
    <row r="879" spans="2:4" ht="13" x14ac:dyDescent="0.15">
      <c r="B879" s="3"/>
      <c r="C879" s="3"/>
      <c r="D879" s="3"/>
    </row>
    <row r="880" spans="2:4" ht="13" x14ac:dyDescent="0.15">
      <c r="B880" s="3"/>
      <c r="C880" s="3"/>
      <c r="D880" s="3"/>
    </row>
    <row r="881" spans="2:4" ht="13" x14ac:dyDescent="0.15">
      <c r="B881" s="3"/>
      <c r="C881" s="3"/>
      <c r="D881" s="3"/>
    </row>
    <row r="882" spans="2:4" ht="13" x14ac:dyDescent="0.15">
      <c r="B882" s="3"/>
      <c r="C882" s="3"/>
      <c r="D882" s="3"/>
    </row>
    <row r="883" spans="2:4" ht="13" x14ac:dyDescent="0.15">
      <c r="B883" s="3"/>
      <c r="C883" s="3"/>
      <c r="D883" s="3"/>
    </row>
    <row r="884" spans="2:4" ht="13" x14ac:dyDescent="0.15">
      <c r="B884" s="3"/>
      <c r="C884" s="3"/>
      <c r="D884" s="3"/>
    </row>
    <row r="885" spans="2:4" ht="13" x14ac:dyDescent="0.15">
      <c r="B885" s="3"/>
      <c r="C885" s="3"/>
      <c r="D885" s="3"/>
    </row>
    <row r="886" spans="2:4" ht="13" x14ac:dyDescent="0.15">
      <c r="B886" s="3"/>
      <c r="C886" s="3"/>
      <c r="D886" s="3"/>
    </row>
    <row r="887" spans="2:4" ht="13" x14ac:dyDescent="0.15">
      <c r="B887" s="3"/>
      <c r="C887" s="3"/>
      <c r="D887" s="3"/>
    </row>
    <row r="888" spans="2:4" ht="13" x14ac:dyDescent="0.15">
      <c r="B888" s="3"/>
      <c r="C888" s="3"/>
      <c r="D888" s="3"/>
    </row>
    <row r="889" spans="2:4" ht="13" x14ac:dyDescent="0.15">
      <c r="B889" s="3"/>
      <c r="C889" s="3"/>
      <c r="D889" s="3"/>
    </row>
    <row r="890" spans="2:4" ht="13" x14ac:dyDescent="0.15">
      <c r="B890" s="3"/>
      <c r="C890" s="3"/>
      <c r="D890" s="3"/>
    </row>
    <row r="891" spans="2:4" ht="13" x14ac:dyDescent="0.15">
      <c r="B891" s="3"/>
      <c r="C891" s="3"/>
      <c r="D891" s="3"/>
    </row>
    <row r="892" spans="2:4" ht="13" x14ac:dyDescent="0.15">
      <c r="B892" s="3"/>
      <c r="C892" s="3"/>
      <c r="D892" s="3"/>
    </row>
    <row r="893" spans="2:4" ht="13" x14ac:dyDescent="0.15">
      <c r="B893" s="3"/>
      <c r="C893" s="3"/>
      <c r="D893" s="3"/>
    </row>
    <row r="894" spans="2:4" ht="13" x14ac:dyDescent="0.15">
      <c r="B894" s="3"/>
      <c r="C894" s="3"/>
      <c r="D894" s="3"/>
    </row>
    <row r="895" spans="2:4" ht="13" x14ac:dyDescent="0.15">
      <c r="B895" s="3"/>
      <c r="C895" s="3"/>
      <c r="D895" s="3"/>
    </row>
    <row r="896" spans="2:4" ht="13" x14ac:dyDescent="0.15">
      <c r="B896" s="3"/>
      <c r="C896" s="3"/>
      <c r="D896" s="3"/>
    </row>
    <row r="897" spans="2:4" ht="13" x14ac:dyDescent="0.15">
      <c r="B897" s="3"/>
      <c r="C897" s="3"/>
      <c r="D897" s="3"/>
    </row>
    <row r="898" spans="2:4" ht="13" x14ac:dyDescent="0.15">
      <c r="B898" s="3"/>
      <c r="C898" s="3"/>
      <c r="D898" s="3"/>
    </row>
    <row r="899" spans="2:4" ht="13" x14ac:dyDescent="0.15">
      <c r="B899" s="3"/>
      <c r="C899" s="3"/>
      <c r="D899" s="3"/>
    </row>
    <row r="900" spans="2:4" ht="13" x14ac:dyDescent="0.15">
      <c r="B900" s="3"/>
      <c r="C900" s="3"/>
      <c r="D900" s="3"/>
    </row>
    <row r="901" spans="2:4" ht="13" x14ac:dyDescent="0.15">
      <c r="B901" s="3"/>
      <c r="C901" s="3"/>
      <c r="D901" s="3"/>
    </row>
    <row r="902" spans="2:4" ht="13" x14ac:dyDescent="0.15">
      <c r="B902" s="3"/>
      <c r="C902" s="3"/>
      <c r="D902" s="3"/>
    </row>
    <row r="903" spans="2:4" ht="13" x14ac:dyDescent="0.15">
      <c r="B903" s="3"/>
      <c r="C903" s="3"/>
      <c r="D903" s="3"/>
    </row>
    <row r="904" spans="2:4" ht="13" x14ac:dyDescent="0.15">
      <c r="B904" s="3"/>
      <c r="C904" s="3"/>
      <c r="D904" s="3"/>
    </row>
    <row r="905" spans="2:4" ht="13" x14ac:dyDescent="0.15">
      <c r="B905" s="3"/>
      <c r="C905" s="3"/>
      <c r="D905" s="3"/>
    </row>
    <row r="906" spans="2:4" ht="13" x14ac:dyDescent="0.15">
      <c r="B906" s="3"/>
      <c r="C906" s="3"/>
      <c r="D906" s="3"/>
    </row>
    <row r="907" spans="2:4" ht="13" x14ac:dyDescent="0.15">
      <c r="B907" s="3"/>
      <c r="C907" s="3"/>
      <c r="D907" s="3"/>
    </row>
    <row r="908" spans="2:4" ht="13" x14ac:dyDescent="0.15">
      <c r="B908" s="3"/>
      <c r="C908" s="3"/>
      <c r="D908" s="3"/>
    </row>
    <row r="909" spans="2:4" ht="13" x14ac:dyDescent="0.15">
      <c r="B909" s="3"/>
      <c r="C909" s="3"/>
      <c r="D909" s="3"/>
    </row>
    <row r="910" spans="2:4" ht="13" x14ac:dyDescent="0.15">
      <c r="B910" s="3"/>
      <c r="C910" s="3"/>
      <c r="D910" s="3"/>
    </row>
    <row r="911" spans="2:4" ht="13" x14ac:dyDescent="0.15">
      <c r="B911" s="3"/>
      <c r="C911" s="3"/>
      <c r="D911" s="3"/>
    </row>
    <row r="912" spans="2:4" ht="13" x14ac:dyDescent="0.15">
      <c r="B912" s="3"/>
      <c r="C912" s="3"/>
      <c r="D912" s="3"/>
    </row>
    <row r="913" spans="2:4" ht="13" x14ac:dyDescent="0.15">
      <c r="B913" s="3"/>
      <c r="C913" s="3"/>
      <c r="D913" s="3"/>
    </row>
    <row r="914" spans="2:4" ht="13" x14ac:dyDescent="0.15">
      <c r="B914" s="3"/>
      <c r="C914" s="3"/>
      <c r="D914" s="3"/>
    </row>
    <row r="915" spans="2:4" ht="13" x14ac:dyDescent="0.15">
      <c r="B915" s="3"/>
      <c r="C915" s="3"/>
      <c r="D915" s="3"/>
    </row>
    <row r="916" spans="2:4" ht="13" x14ac:dyDescent="0.15">
      <c r="B916" s="3"/>
      <c r="C916" s="3"/>
      <c r="D916" s="3"/>
    </row>
    <row r="917" spans="2:4" ht="13" x14ac:dyDescent="0.15">
      <c r="B917" s="3"/>
      <c r="C917" s="3"/>
      <c r="D917" s="3"/>
    </row>
    <row r="918" spans="2:4" ht="13" x14ac:dyDescent="0.15">
      <c r="B918" s="3"/>
      <c r="C918" s="3"/>
      <c r="D918" s="3"/>
    </row>
    <row r="919" spans="2:4" ht="13" x14ac:dyDescent="0.15">
      <c r="B919" s="3"/>
      <c r="C919" s="3"/>
      <c r="D919" s="3"/>
    </row>
    <row r="920" spans="2:4" ht="13" x14ac:dyDescent="0.15">
      <c r="B920" s="3"/>
      <c r="C920" s="3"/>
      <c r="D920" s="3"/>
    </row>
    <row r="921" spans="2:4" ht="13" x14ac:dyDescent="0.15">
      <c r="B921" s="3"/>
      <c r="C921" s="3"/>
      <c r="D921" s="3"/>
    </row>
    <row r="922" spans="2:4" ht="13" x14ac:dyDescent="0.15">
      <c r="B922" s="3"/>
      <c r="C922" s="3"/>
      <c r="D922" s="3"/>
    </row>
    <row r="923" spans="2:4" ht="13" x14ac:dyDescent="0.15">
      <c r="B923" s="3"/>
      <c r="C923" s="3"/>
      <c r="D923" s="3"/>
    </row>
    <row r="924" spans="2:4" ht="13" x14ac:dyDescent="0.15">
      <c r="B924" s="3"/>
      <c r="C924" s="3"/>
      <c r="D924" s="3"/>
    </row>
    <row r="925" spans="2:4" ht="13" x14ac:dyDescent="0.15">
      <c r="B925" s="3"/>
      <c r="C925" s="3"/>
      <c r="D925" s="3"/>
    </row>
    <row r="926" spans="2:4" ht="13" x14ac:dyDescent="0.15">
      <c r="B926" s="3"/>
      <c r="C926" s="3"/>
      <c r="D926" s="3"/>
    </row>
    <row r="927" spans="2:4" ht="13" x14ac:dyDescent="0.15">
      <c r="B927" s="3"/>
      <c r="C927" s="3"/>
      <c r="D927" s="3"/>
    </row>
    <row r="928" spans="2:4" ht="13" x14ac:dyDescent="0.15">
      <c r="B928" s="3"/>
      <c r="C928" s="3"/>
      <c r="D928" s="3"/>
    </row>
    <row r="929" spans="2:4" ht="13" x14ac:dyDescent="0.15">
      <c r="B929" s="3"/>
      <c r="C929" s="3"/>
      <c r="D929" s="3"/>
    </row>
    <row r="930" spans="2:4" ht="13" x14ac:dyDescent="0.15">
      <c r="B930" s="3"/>
      <c r="C930" s="3"/>
      <c r="D930" s="3"/>
    </row>
    <row r="931" spans="2:4" ht="13" x14ac:dyDescent="0.15">
      <c r="B931" s="3"/>
      <c r="C931" s="3"/>
      <c r="D931" s="3"/>
    </row>
    <row r="932" spans="2:4" ht="13" x14ac:dyDescent="0.15">
      <c r="B932" s="3"/>
      <c r="C932" s="3"/>
      <c r="D932" s="3"/>
    </row>
    <row r="933" spans="2:4" ht="13" x14ac:dyDescent="0.15">
      <c r="B933" s="3"/>
      <c r="C933" s="3"/>
      <c r="D933" s="3"/>
    </row>
    <row r="934" spans="2:4" ht="13" x14ac:dyDescent="0.15">
      <c r="B934" s="3"/>
      <c r="C934" s="3"/>
      <c r="D934" s="3"/>
    </row>
    <row r="935" spans="2:4" ht="13" x14ac:dyDescent="0.15">
      <c r="B935" s="3"/>
      <c r="C935" s="3"/>
      <c r="D935" s="3"/>
    </row>
    <row r="936" spans="2:4" ht="13" x14ac:dyDescent="0.15">
      <c r="B936" s="3"/>
      <c r="C936" s="3"/>
      <c r="D936" s="3"/>
    </row>
    <row r="937" spans="2:4" ht="13" x14ac:dyDescent="0.15">
      <c r="B937" s="3"/>
      <c r="C937" s="3"/>
      <c r="D937" s="3"/>
    </row>
    <row r="938" spans="2:4" ht="13" x14ac:dyDescent="0.15">
      <c r="B938" s="3"/>
      <c r="C938" s="3"/>
      <c r="D938" s="3"/>
    </row>
    <row r="939" spans="2:4" ht="13" x14ac:dyDescent="0.15">
      <c r="B939" s="3"/>
      <c r="C939" s="3"/>
      <c r="D939" s="3"/>
    </row>
    <row r="940" spans="2:4" ht="13" x14ac:dyDescent="0.15">
      <c r="B940" s="3"/>
      <c r="C940" s="3"/>
      <c r="D940" s="3"/>
    </row>
    <row r="941" spans="2:4" ht="13" x14ac:dyDescent="0.15">
      <c r="B941" s="3"/>
      <c r="C941" s="3"/>
      <c r="D941" s="3"/>
    </row>
    <row r="942" spans="2:4" ht="13" x14ac:dyDescent="0.15">
      <c r="B942" s="3"/>
      <c r="C942" s="3"/>
      <c r="D942" s="3"/>
    </row>
    <row r="943" spans="2:4" ht="13" x14ac:dyDescent="0.15">
      <c r="B943" s="3"/>
      <c r="C943" s="3"/>
      <c r="D943" s="3"/>
    </row>
    <row r="944" spans="2:4" ht="13" x14ac:dyDescent="0.15">
      <c r="B944" s="3"/>
      <c r="C944" s="3"/>
      <c r="D944" s="3"/>
    </row>
    <row r="945" spans="2:4" ht="13" x14ac:dyDescent="0.15">
      <c r="B945" s="3"/>
      <c r="C945" s="3"/>
      <c r="D945" s="3"/>
    </row>
    <row r="946" spans="2:4" ht="13" x14ac:dyDescent="0.15">
      <c r="B946" s="3"/>
      <c r="C946" s="3"/>
      <c r="D946" s="3"/>
    </row>
    <row r="947" spans="2:4" ht="13" x14ac:dyDescent="0.15">
      <c r="B947" s="3"/>
      <c r="C947" s="3"/>
      <c r="D947" s="3"/>
    </row>
    <row r="948" spans="2:4" ht="13" x14ac:dyDescent="0.15">
      <c r="B948" s="3"/>
      <c r="C948" s="3"/>
      <c r="D948" s="3"/>
    </row>
    <row r="949" spans="2:4" ht="13" x14ac:dyDescent="0.15">
      <c r="B949" s="3"/>
      <c r="C949" s="3"/>
      <c r="D949" s="3"/>
    </row>
    <row r="950" spans="2:4" ht="13" x14ac:dyDescent="0.15">
      <c r="B950" s="3"/>
      <c r="C950" s="3"/>
      <c r="D950" s="3"/>
    </row>
    <row r="951" spans="2:4" ht="13" x14ac:dyDescent="0.15">
      <c r="B951" s="3"/>
      <c r="C951" s="3"/>
      <c r="D951" s="3"/>
    </row>
    <row r="952" spans="2:4" ht="13" x14ac:dyDescent="0.15">
      <c r="B952" s="3"/>
      <c r="C952" s="3"/>
      <c r="D952" s="3"/>
    </row>
    <row r="953" spans="2:4" ht="13" x14ac:dyDescent="0.15">
      <c r="B953" s="3"/>
      <c r="C953" s="3"/>
      <c r="D953" s="3"/>
    </row>
    <row r="954" spans="2:4" ht="13" x14ac:dyDescent="0.15">
      <c r="B954" s="3"/>
      <c r="C954" s="3"/>
      <c r="D954" s="3"/>
    </row>
    <row r="955" spans="2:4" ht="13" x14ac:dyDescent="0.15">
      <c r="B955" s="3"/>
      <c r="C955" s="3"/>
      <c r="D955" s="3"/>
    </row>
    <row r="956" spans="2:4" ht="13" x14ac:dyDescent="0.15">
      <c r="B956" s="3"/>
      <c r="C956" s="3"/>
      <c r="D956" s="3"/>
    </row>
    <row r="957" spans="2:4" ht="13" x14ac:dyDescent="0.15">
      <c r="B957" s="3"/>
      <c r="C957" s="3"/>
      <c r="D957" s="3"/>
    </row>
    <row r="958" spans="2:4" ht="13" x14ac:dyDescent="0.15">
      <c r="B958" s="3"/>
      <c r="C958" s="3"/>
      <c r="D958" s="3"/>
    </row>
    <row r="959" spans="2:4" ht="13" x14ac:dyDescent="0.15">
      <c r="B959" s="3"/>
      <c r="C959" s="3"/>
      <c r="D959" s="3"/>
    </row>
    <row r="960" spans="2:4" ht="13" x14ac:dyDescent="0.15">
      <c r="B960" s="3"/>
      <c r="C960" s="3"/>
      <c r="D960" s="3"/>
    </row>
    <row r="961" spans="2:4" ht="13" x14ac:dyDescent="0.15">
      <c r="B961" s="3"/>
      <c r="C961" s="3"/>
      <c r="D961" s="3"/>
    </row>
    <row r="962" spans="2:4" ht="13" x14ac:dyDescent="0.15">
      <c r="B962" s="3"/>
      <c r="C962" s="3"/>
      <c r="D962" s="3"/>
    </row>
    <row r="963" spans="2:4" ht="13" x14ac:dyDescent="0.15">
      <c r="B963" s="3"/>
      <c r="C963" s="3"/>
      <c r="D963" s="3"/>
    </row>
    <row r="964" spans="2:4" ht="13" x14ac:dyDescent="0.15">
      <c r="B964" s="3"/>
      <c r="C964" s="3"/>
      <c r="D964" s="3"/>
    </row>
    <row r="965" spans="2:4" ht="13" x14ac:dyDescent="0.15">
      <c r="B965" s="3"/>
      <c r="C965" s="3"/>
      <c r="D965" s="3"/>
    </row>
    <row r="966" spans="2:4" ht="13" x14ac:dyDescent="0.15">
      <c r="B966" s="3"/>
      <c r="C966" s="3"/>
      <c r="D966" s="3"/>
    </row>
    <row r="967" spans="2:4" ht="13" x14ac:dyDescent="0.15">
      <c r="B967" s="3"/>
      <c r="C967" s="3"/>
      <c r="D967" s="3"/>
    </row>
    <row r="968" spans="2:4" ht="13" x14ac:dyDescent="0.15">
      <c r="B968" s="3"/>
      <c r="C968" s="3"/>
      <c r="D968" s="3"/>
    </row>
    <row r="969" spans="2:4" ht="13" x14ac:dyDescent="0.15">
      <c r="B969" s="3"/>
      <c r="C969" s="3"/>
      <c r="D969" s="3"/>
    </row>
    <row r="970" spans="2:4" ht="13" x14ac:dyDescent="0.15">
      <c r="B970" s="3"/>
      <c r="C970" s="3"/>
      <c r="D970" s="3"/>
    </row>
    <row r="971" spans="2:4" ht="13" x14ac:dyDescent="0.15">
      <c r="B971" s="3"/>
      <c r="C971" s="3"/>
      <c r="D971" s="3"/>
    </row>
    <row r="972" spans="2:4" ht="13" x14ac:dyDescent="0.15">
      <c r="B972" s="3"/>
      <c r="C972" s="3"/>
      <c r="D972" s="3"/>
    </row>
    <row r="973" spans="2:4" ht="13" x14ac:dyDescent="0.15">
      <c r="B973" s="3"/>
      <c r="C973" s="3"/>
      <c r="D973" s="3"/>
    </row>
    <row r="974" spans="2:4" ht="13" x14ac:dyDescent="0.15">
      <c r="B974" s="3"/>
      <c r="C974" s="3"/>
      <c r="D974" s="3"/>
    </row>
    <row r="975" spans="2:4" ht="13" x14ac:dyDescent="0.15">
      <c r="B975" s="3"/>
      <c r="C975" s="3"/>
      <c r="D975" s="3"/>
    </row>
    <row r="976" spans="2:4" ht="13" x14ac:dyDescent="0.15">
      <c r="B976" s="3"/>
      <c r="C976" s="3"/>
      <c r="D976" s="3"/>
    </row>
    <row r="977" spans="2:4" ht="13" x14ac:dyDescent="0.15">
      <c r="B977" s="3"/>
      <c r="C977" s="3"/>
      <c r="D977" s="3"/>
    </row>
    <row r="978" spans="2:4" ht="13" x14ac:dyDescent="0.15">
      <c r="B978" s="3"/>
      <c r="C978" s="3"/>
      <c r="D978" s="3"/>
    </row>
    <row r="979" spans="2:4" ht="13" x14ac:dyDescent="0.15">
      <c r="B979" s="3"/>
      <c r="C979" s="3"/>
      <c r="D979" s="3"/>
    </row>
    <row r="980" spans="2:4" ht="13" x14ac:dyDescent="0.15">
      <c r="B980" s="3"/>
      <c r="C980" s="3"/>
      <c r="D980" s="3"/>
    </row>
    <row r="981" spans="2:4" ht="13" x14ac:dyDescent="0.15">
      <c r="B981" s="3"/>
      <c r="C981" s="3"/>
      <c r="D981" s="3"/>
    </row>
    <row r="982" spans="2:4" ht="13" x14ac:dyDescent="0.15">
      <c r="B982" s="3"/>
      <c r="C982" s="3"/>
      <c r="D982" s="3"/>
    </row>
    <row r="983" spans="2:4" ht="13" x14ac:dyDescent="0.15">
      <c r="B983" s="3"/>
      <c r="C983" s="3"/>
      <c r="D983" s="3"/>
    </row>
    <row r="984" spans="2:4" ht="13" x14ac:dyDescent="0.15">
      <c r="B984" s="3"/>
      <c r="C984" s="3"/>
      <c r="D984" s="3"/>
    </row>
    <row r="985" spans="2:4" ht="13" x14ac:dyDescent="0.15">
      <c r="B985" s="3"/>
      <c r="C985" s="3"/>
      <c r="D985" s="3"/>
    </row>
    <row r="986" spans="2:4" ht="13" x14ac:dyDescent="0.15">
      <c r="B986" s="3"/>
      <c r="C986" s="3"/>
      <c r="D986" s="3"/>
    </row>
    <row r="987" spans="2:4" ht="13" x14ac:dyDescent="0.15">
      <c r="B987" s="3"/>
      <c r="C987" s="3"/>
      <c r="D987" s="3"/>
    </row>
    <row r="988" spans="2:4" ht="13" x14ac:dyDescent="0.15">
      <c r="B988" s="3"/>
      <c r="C988" s="3"/>
      <c r="D988" s="3"/>
    </row>
    <row r="989" spans="2:4" ht="13" x14ac:dyDescent="0.15">
      <c r="B989" s="3"/>
      <c r="C989" s="3"/>
      <c r="D989" s="3"/>
    </row>
    <row r="990" spans="2:4" ht="13" x14ac:dyDescent="0.15">
      <c r="B990" s="3"/>
      <c r="C990" s="3"/>
      <c r="D990" s="3"/>
    </row>
    <row r="991" spans="2:4" ht="13" x14ac:dyDescent="0.15">
      <c r="B991" s="3"/>
      <c r="C991" s="3"/>
      <c r="D991" s="3"/>
    </row>
    <row r="992" spans="2:4" ht="13" x14ac:dyDescent="0.15">
      <c r="B992" s="3"/>
      <c r="C992" s="3"/>
      <c r="D992" s="3"/>
    </row>
    <row r="993" spans="2:4" ht="13" x14ac:dyDescent="0.15">
      <c r="B993" s="3"/>
      <c r="C993" s="3"/>
      <c r="D993" s="3"/>
    </row>
    <row r="994" spans="2:4" ht="13" x14ac:dyDescent="0.15">
      <c r="B994" s="3"/>
      <c r="C994" s="3"/>
      <c r="D994" s="3"/>
    </row>
    <row r="995" spans="2:4" ht="13" x14ac:dyDescent="0.15">
      <c r="B995" s="3"/>
      <c r="C995" s="3"/>
      <c r="D995" s="3"/>
    </row>
    <row r="996" spans="2:4" ht="13" x14ac:dyDescent="0.15">
      <c r="B996" s="3"/>
      <c r="C996" s="3"/>
      <c r="D996" s="3"/>
    </row>
    <row r="997" spans="2:4" ht="13" x14ac:dyDescent="0.15">
      <c r="B997" s="3"/>
      <c r="C997" s="3"/>
      <c r="D997" s="3"/>
    </row>
    <row r="998" spans="2:4" ht="13" x14ac:dyDescent="0.15">
      <c r="B998" s="3"/>
      <c r="C998" s="3"/>
      <c r="D998" s="3"/>
    </row>
    <row r="999" spans="2:4" ht="13" x14ac:dyDescent="0.15">
      <c r="B999" s="3"/>
      <c r="C999" s="3"/>
      <c r="D999" s="3"/>
    </row>
    <row r="1000" spans="2:4" ht="13" x14ac:dyDescent="0.15">
      <c r="B1000" s="3"/>
      <c r="C1000" s="3"/>
      <c r="D1000" s="3"/>
    </row>
    <row r="1001" spans="2:4" ht="13" x14ac:dyDescent="0.15">
      <c r="B1001" s="3"/>
      <c r="C1001" s="3"/>
      <c r="D1001" s="3"/>
    </row>
    <row r="1002" spans="2:4" ht="13" x14ac:dyDescent="0.15">
      <c r="B1002" s="3"/>
      <c r="C1002" s="3"/>
      <c r="D1002" s="3"/>
    </row>
    <row r="1003" spans="2:4" ht="13" x14ac:dyDescent="0.15">
      <c r="B1003" s="3"/>
      <c r="C1003" s="3"/>
      <c r="D1003" s="3"/>
    </row>
    <row r="1004" spans="2:4" ht="13" x14ac:dyDescent="0.15">
      <c r="B1004" s="3"/>
      <c r="C1004" s="3"/>
      <c r="D1004" s="3"/>
    </row>
    <row r="1005" spans="2:4" ht="13" x14ac:dyDescent="0.15">
      <c r="B1005" s="3"/>
      <c r="C1005" s="3"/>
      <c r="D1005" s="3"/>
    </row>
    <row r="1006" spans="2:4" ht="13" x14ac:dyDescent="0.15">
      <c r="B1006" s="3"/>
      <c r="C1006" s="3"/>
      <c r="D1006" s="3"/>
    </row>
    <row r="1007" spans="2:4" ht="13" x14ac:dyDescent="0.15">
      <c r="B1007" s="3"/>
      <c r="C1007" s="3"/>
      <c r="D1007" s="3"/>
    </row>
    <row r="1008" spans="2:4" ht="13" x14ac:dyDescent="0.15">
      <c r="B1008" s="3"/>
      <c r="C1008" s="3"/>
      <c r="D1008" s="3"/>
    </row>
    <row r="1009" spans="2:4" ht="13" x14ac:dyDescent="0.15">
      <c r="B1009" s="3"/>
      <c r="C1009" s="3"/>
      <c r="D1009" s="3"/>
    </row>
    <row r="1010" spans="2:4" ht="13" x14ac:dyDescent="0.15">
      <c r="B1010" s="3"/>
      <c r="C1010" s="3"/>
      <c r="D1010" s="3"/>
    </row>
    <row r="1011" spans="2:4" ht="13" x14ac:dyDescent="0.15">
      <c r="B1011" s="3"/>
      <c r="C1011" s="3"/>
      <c r="D1011" s="3"/>
    </row>
    <row r="1012" spans="2:4" ht="13" x14ac:dyDescent="0.15">
      <c r="B1012" s="3"/>
      <c r="C1012" s="3"/>
      <c r="D1012" s="3"/>
    </row>
    <row r="1013" spans="2:4" ht="13" x14ac:dyDescent="0.15">
      <c r="B1013" s="3"/>
      <c r="C1013" s="3"/>
      <c r="D1013" s="3"/>
    </row>
    <row r="1014" spans="2:4" ht="13" x14ac:dyDescent="0.15">
      <c r="B1014" s="3"/>
      <c r="C1014" s="3"/>
      <c r="D1014" s="3"/>
    </row>
    <row r="1015" spans="2:4" ht="13" x14ac:dyDescent="0.15">
      <c r="B1015" s="3"/>
      <c r="C1015" s="3"/>
      <c r="D1015" s="3"/>
    </row>
    <row r="1016" spans="2:4" ht="13" x14ac:dyDescent="0.15">
      <c r="B1016" s="3"/>
      <c r="C1016" s="3"/>
      <c r="D1016" s="3"/>
    </row>
    <row r="1017" spans="2:4" ht="13" x14ac:dyDescent="0.15">
      <c r="B1017" s="3"/>
      <c r="C1017" s="3"/>
      <c r="D1017" s="3"/>
    </row>
    <row r="1018" spans="2:4" ht="13" x14ac:dyDescent="0.15">
      <c r="B1018" s="3"/>
      <c r="C1018" s="3"/>
      <c r="D1018" s="3"/>
    </row>
    <row r="1019" spans="2:4" ht="13" x14ac:dyDescent="0.15">
      <c r="B1019" s="3"/>
      <c r="C1019" s="3"/>
      <c r="D1019" s="3"/>
    </row>
    <row r="1020" spans="2:4" ht="13" x14ac:dyDescent="0.15">
      <c r="B1020" s="3"/>
      <c r="C1020" s="3"/>
      <c r="D1020" s="3"/>
    </row>
    <row r="1021" spans="2:4" ht="13" x14ac:dyDescent="0.15">
      <c r="B1021" s="3"/>
      <c r="C1021" s="3"/>
      <c r="D1021" s="3"/>
    </row>
    <row r="1022" spans="2:4" ht="13" x14ac:dyDescent="0.15">
      <c r="B1022" s="3"/>
      <c r="C1022" s="3"/>
      <c r="D1022" s="3"/>
    </row>
    <row r="1023" spans="2:4" ht="13" x14ac:dyDescent="0.15">
      <c r="B1023" s="3"/>
      <c r="C1023" s="3"/>
      <c r="D1023" s="3"/>
    </row>
    <row r="1024" spans="2:4" ht="13" x14ac:dyDescent="0.15">
      <c r="B1024" s="3"/>
      <c r="C1024" s="3"/>
      <c r="D1024" s="3"/>
    </row>
    <row r="1025" spans="2:4" ht="13" x14ac:dyDescent="0.15">
      <c r="B1025" s="3"/>
      <c r="C1025" s="3"/>
      <c r="D1025" s="3"/>
    </row>
    <row r="1026" spans="2:4" ht="13" x14ac:dyDescent="0.15">
      <c r="B1026" s="3"/>
      <c r="C1026" s="3"/>
      <c r="D1026" s="3"/>
    </row>
    <row r="1027" spans="2:4" ht="13" x14ac:dyDescent="0.15">
      <c r="B1027" s="3"/>
      <c r="C1027" s="3"/>
      <c r="D1027" s="3"/>
    </row>
    <row r="1028" spans="2:4" ht="13" x14ac:dyDescent="0.15">
      <c r="B1028" s="3"/>
      <c r="C1028" s="3"/>
      <c r="D1028" s="3"/>
    </row>
    <row r="1029" spans="2:4" ht="13" x14ac:dyDescent="0.15">
      <c r="B1029" s="3"/>
      <c r="C1029" s="3"/>
      <c r="D1029" s="3"/>
    </row>
    <row r="1030" spans="2:4" ht="13" x14ac:dyDescent="0.15">
      <c r="B1030" s="3"/>
      <c r="C1030" s="3"/>
      <c r="D1030" s="3"/>
    </row>
    <row r="1031" spans="2:4" ht="13" x14ac:dyDescent="0.15">
      <c r="B1031" s="3"/>
      <c r="C1031" s="3"/>
      <c r="D1031" s="3"/>
    </row>
    <row r="1032" spans="2:4" ht="13" x14ac:dyDescent="0.15">
      <c r="B1032" s="3"/>
      <c r="C1032" s="3"/>
      <c r="D1032" s="3"/>
    </row>
    <row r="1033" spans="2:4" ht="13" x14ac:dyDescent="0.15">
      <c r="B1033" s="3"/>
      <c r="C1033" s="3"/>
      <c r="D1033" s="3"/>
    </row>
    <row r="1034" spans="2:4" ht="13" x14ac:dyDescent="0.15">
      <c r="B1034" s="3"/>
      <c r="C1034" s="3"/>
      <c r="D1034" s="3"/>
    </row>
    <row r="1035" spans="2:4" ht="13" x14ac:dyDescent="0.15">
      <c r="B1035" s="3"/>
      <c r="C1035" s="3"/>
      <c r="D1035" s="3"/>
    </row>
    <row r="1036" spans="2:4" ht="13" x14ac:dyDescent="0.15">
      <c r="B1036" s="3"/>
      <c r="C1036" s="3"/>
      <c r="D1036" s="3"/>
    </row>
    <row r="1037" spans="2:4" ht="13" x14ac:dyDescent="0.15">
      <c r="B1037" s="3"/>
      <c r="C1037" s="3"/>
      <c r="D1037" s="3"/>
    </row>
    <row r="1038" spans="2:4" ht="13" x14ac:dyDescent="0.15">
      <c r="B1038" s="3"/>
      <c r="C1038" s="3"/>
      <c r="D1038" s="3"/>
    </row>
    <row r="1039" spans="2:4" ht="13" x14ac:dyDescent="0.15">
      <c r="B1039" s="3"/>
      <c r="C1039" s="3"/>
      <c r="D1039" s="3"/>
    </row>
    <row r="1040" spans="2:4" ht="13" x14ac:dyDescent="0.15">
      <c r="B1040" s="3"/>
      <c r="C1040" s="3"/>
      <c r="D1040" s="3"/>
    </row>
    <row r="1041" spans="2:4" ht="13" x14ac:dyDescent="0.15">
      <c r="B1041" s="3"/>
      <c r="C1041" s="3"/>
      <c r="D1041" s="3"/>
    </row>
    <row r="1042" spans="2:4" ht="13" x14ac:dyDescent="0.15">
      <c r="B1042" s="3"/>
      <c r="C1042" s="3"/>
      <c r="D1042" s="3"/>
    </row>
    <row r="1043" spans="2:4" ht="13" x14ac:dyDescent="0.15">
      <c r="B1043" s="3"/>
      <c r="C1043" s="3"/>
      <c r="D1043" s="3"/>
    </row>
    <row r="1044" spans="2:4" ht="13" x14ac:dyDescent="0.15">
      <c r="B1044" s="3"/>
      <c r="C1044" s="3"/>
      <c r="D1044" s="3"/>
    </row>
    <row r="1045" spans="2:4" ht="13" x14ac:dyDescent="0.15">
      <c r="B1045" s="3"/>
      <c r="C1045" s="3"/>
      <c r="D1045" s="3"/>
    </row>
    <row r="1046" spans="2:4" ht="13" x14ac:dyDescent="0.15">
      <c r="B1046" s="3"/>
      <c r="C1046" s="3"/>
      <c r="D1046" s="3"/>
    </row>
    <row r="1047" spans="2:4" ht="13" x14ac:dyDescent="0.15">
      <c r="B1047" s="3"/>
      <c r="C1047" s="3"/>
      <c r="D1047" s="3"/>
    </row>
    <row r="1048" spans="2:4" ht="13" x14ac:dyDescent="0.15">
      <c r="B1048" s="3"/>
      <c r="C1048" s="3"/>
      <c r="D1048" s="3"/>
    </row>
    <row r="1049" spans="2:4" ht="13" x14ac:dyDescent="0.15">
      <c r="B1049" s="3"/>
      <c r="C1049" s="3"/>
      <c r="D1049" s="3"/>
    </row>
    <row r="1050" spans="2:4" ht="13" x14ac:dyDescent="0.15">
      <c r="B1050" s="3"/>
      <c r="C1050" s="3"/>
      <c r="D1050" s="3"/>
    </row>
    <row r="1051" spans="2:4" ht="13" x14ac:dyDescent="0.15">
      <c r="B1051" s="3"/>
      <c r="C1051" s="3"/>
      <c r="D1051" s="3"/>
    </row>
    <row r="1052" spans="2:4" ht="13" x14ac:dyDescent="0.15">
      <c r="B1052" s="3"/>
      <c r="C1052" s="3"/>
      <c r="D1052" s="3"/>
    </row>
    <row r="1053" spans="2:4" ht="13" x14ac:dyDescent="0.15">
      <c r="B1053" s="3"/>
      <c r="C1053" s="3"/>
      <c r="D1053" s="3"/>
    </row>
    <row r="1054" spans="2:4" ht="13" x14ac:dyDescent="0.15">
      <c r="B1054" s="3"/>
      <c r="C1054" s="3"/>
      <c r="D1054" s="3"/>
    </row>
    <row r="1055" spans="2:4" ht="13" x14ac:dyDescent="0.15">
      <c r="B1055" s="3"/>
      <c r="C1055" s="3"/>
      <c r="D1055" s="3"/>
    </row>
    <row r="1056" spans="2:4" ht="13" x14ac:dyDescent="0.15">
      <c r="B1056" s="3"/>
      <c r="C1056" s="3"/>
      <c r="D1056" s="3"/>
    </row>
    <row r="1057" spans="2:4" ht="13" x14ac:dyDescent="0.15">
      <c r="B1057" s="3"/>
      <c r="C1057" s="3"/>
      <c r="D1057" s="3"/>
    </row>
    <row r="1058" spans="2:4" ht="13" x14ac:dyDescent="0.15">
      <c r="B1058" s="3"/>
      <c r="C1058" s="3"/>
      <c r="D1058" s="3"/>
    </row>
    <row r="1059" spans="2:4" ht="13" x14ac:dyDescent="0.15">
      <c r="B1059" s="3"/>
      <c r="C1059" s="3"/>
      <c r="D1059" s="3"/>
    </row>
    <row r="1060" spans="2:4" ht="13" x14ac:dyDescent="0.15">
      <c r="B1060" s="3"/>
      <c r="C1060" s="3"/>
      <c r="D1060" s="3"/>
    </row>
    <row r="1061" spans="2:4" ht="13" x14ac:dyDescent="0.15">
      <c r="B1061" s="3"/>
      <c r="C1061" s="3"/>
      <c r="D1061" s="3"/>
    </row>
    <row r="1062" spans="2:4" ht="13" x14ac:dyDescent="0.15">
      <c r="B1062" s="3"/>
      <c r="C1062" s="3"/>
      <c r="D1062" s="3"/>
    </row>
    <row r="1063" spans="2:4" ht="13" x14ac:dyDescent="0.15">
      <c r="B1063" s="3"/>
      <c r="C1063" s="3"/>
      <c r="D1063" s="3"/>
    </row>
    <row r="1064" spans="2:4" ht="13" x14ac:dyDescent="0.15">
      <c r="B1064" s="3"/>
      <c r="C1064" s="3"/>
      <c r="D1064" s="3"/>
    </row>
    <row r="1065" spans="2:4" ht="13" x14ac:dyDescent="0.15">
      <c r="B1065" s="3"/>
      <c r="C1065" s="3"/>
      <c r="D1065" s="3"/>
    </row>
    <row r="1066" spans="2:4" ht="13" x14ac:dyDescent="0.15">
      <c r="B1066" s="3"/>
      <c r="C1066" s="3"/>
      <c r="D1066" s="3"/>
    </row>
    <row r="1067" spans="2:4" ht="13" x14ac:dyDescent="0.15">
      <c r="B1067" s="3"/>
      <c r="C1067" s="3"/>
      <c r="D1067" s="3"/>
    </row>
    <row r="1068" spans="2:4" ht="13" x14ac:dyDescent="0.15">
      <c r="B1068" s="3"/>
      <c r="C1068" s="3"/>
      <c r="D1068" s="3"/>
    </row>
    <row r="1069" spans="2:4" ht="13" x14ac:dyDescent="0.15">
      <c r="B1069" s="3"/>
      <c r="C1069" s="3"/>
      <c r="D1069" s="3"/>
    </row>
    <row r="1070" spans="2:4" ht="13" x14ac:dyDescent="0.15">
      <c r="B1070" s="3"/>
      <c r="C1070" s="3"/>
      <c r="D1070" s="3"/>
    </row>
    <row r="1071" spans="2:4" ht="13" x14ac:dyDescent="0.15">
      <c r="B1071" s="3"/>
      <c r="C1071" s="3"/>
      <c r="D1071" s="3"/>
    </row>
    <row r="1072" spans="2:4" ht="13" x14ac:dyDescent="0.15">
      <c r="B1072" s="3"/>
      <c r="C1072" s="3"/>
      <c r="D1072" s="3"/>
    </row>
    <row r="1073" spans="2:4" ht="13" x14ac:dyDescent="0.15">
      <c r="B1073" s="3"/>
      <c r="C1073" s="3"/>
      <c r="D1073" s="3"/>
    </row>
    <row r="1074" spans="2:4" ht="13" x14ac:dyDescent="0.15">
      <c r="B1074" s="3"/>
      <c r="C1074" s="3"/>
      <c r="D1074" s="3"/>
    </row>
    <row r="1075" spans="2:4" ht="13" x14ac:dyDescent="0.15">
      <c r="B1075" s="3"/>
      <c r="C1075" s="3"/>
      <c r="D1075" s="3"/>
    </row>
    <row r="1076" spans="2:4" ht="13" x14ac:dyDescent="0.15">
      <c r="B1076" s="3"/>
      <c r="C1076" s="3"/>
      <c r="D1076" s="3"/>
    </row>
    <row r="1077" spans="2:4" ht="13" x14ac:dyDescent="0.15">
      <c r="B1077" s="3"/>
      <c r="C1077" s="3"/>
      <c r="D1077" s="3"/>
    </row>
    <row r="1078" spans="2:4" ht="13" x14ac:dyDescent="0.15">
      <c r="B1078" s="3"/>
      <c r="C1078" s="3"/>
      <c r="D1078" s="3"/>
    </row>
    <row r="1079" spans="2:4" ht="13" x14ac:dyDescent="0.15">
      <c r="B1079" s="3"/>
      <c r="C1079" s="3"/>
      <c r="D1079" s="3"/>
    </row>
    <row r="1080" spans="2:4" ht="13" x14ac:dyDescent="0.15">
      <c r="B1080" s="3"/>
      <c r="C1080" s="3"/>
      <c r="D1080" s="3"/>
    </row>
    <row r="1081" spans="2:4" ht="13" x14ac:dyDescent="0.15">
      <c r="B1081" s="3"/>
      <c r="C1081" s="3"/>
      <c r="D1081" s="3"/>
    </row>
    <row r="1082" spans="2:4" ht="13" x14ac:dyDescent="0.15">
      <c r="B1082" s="3"/>
      <c r="C1082" s="3"/>
      <c r="D1082" s="3"/>
    </row>
    <row r="1083" spans="2:4" ht="13" x14ac:dyDescent="0.15">
      <c r="B1083" s="3"/>
      <c r="C1083" s="3"/>
      <c r="D1083" s="3"/>
    </row>
    <row r="1084" spans="2:4" ht="13" x14ac:dyDescent="0.15">
      <c r="B1084" s="3"/>
      <c r="C1084" s="3"/>
      <c r="D1084" s="3"/>
    </row>
    <row r="1085" spans="2:4" ht="13" x14ac:dyDescent="0.15">
      <c r="B1085" s="3"/>
      <c r="C1085" s="3"/>
      <c r="D1085" s="3"/>
    </row>
    <row r="1086" spans="2:4" ht="13" x14ac:dyDescent="0.15">
      <c r="B1086" s="3"/>
      <c r="C1086" s="3"/>
      <c r="D1086" s="3"/>
    </row>
    <row r="1087" spans="2:4" ht="13" x14ac:dyDescent="0.15">
      <c r="B1087" s="3"/>
      <c r="C1087" s="3"/>
      <c r="D1087" s="3"/>
    </row>
    <row r="1088" spans="2:4" ht="13" x14ac:dyDescent="0.15">
      <c r="B1088" s="3"/>
      <c r="C1088" s="3"/>
      <c r="D1088" s="3"/>
    </row>
    <row r="1089" spans="2:4" ht="13" x14ac:dyDescent="0.15">
      <c r="B1089" s="3"/>
      <c r="C1089" s="3"/>
      <c r="D1089" s="3"/>
    </row>
    <row r="1090" spans="2:4" ht="13" x14ac:dyDescent="0.15">
      <c r="B1090" s="3"/>
      <c r="C1090" s="3"/>
      <c r="D1090" s="3"/>
    </row>
    <row r="1091" spans="2:4" ht="13" x14ac:dyDescent="0.15">
      <c r="B1091" s="3"/>
      <c r="C1091" s="3"/>
      <c r="D1091" s="3"/>
    </row>
    <row r="1092" spans="2:4" ht="13" x14ac:dyDescent="0.15">
      <c r="B1092" s="3"/>
      <c r="C1092" s="3"/>
      <c r="D1092" s="3"/>
    </row>
    <row r="1093" spans="2:4" ht="13" x14ac:dyDescent="0.15">
      <c r="B1093" s="3"/>
      <c r="C1093" s="3"/>
      <c r="D1093" s="3"/>
    </row>
    <row r="1094" spans="2:4" ht="13" x14ac:dyDescent="0.15">
      <c r="B1094" s="3"/>
      <c r="C1094" s="3"/>
      <c r="D1094" s="3"/>
    </row>
    <row r="1095" spans="2:4" ht="13" x14ac:dyDescent="0.15">
      <c r="B1095" s="3"/>
      <c r="C1095" s="3"/>
      <c r="D1095" s="3"/>
    </row>
    <row r="1096" spans="2:4" ht="13" x14ac:dyDescent="0.15">
      <c r="B1096" s="3"/>
      <c r="C1096" s="3"/>
      <c r="D1096" s="3"/>
    </row>
    <row r="1097" spans="2:4" ht="13" x14ac:dyDescent="0.15">
      <c r="B1097" s="3"/>
      <c r="C1097" s="3"/>
      <c r="D1097" s="3"/>
    </row>
    <row r="1098" spans="2:4" ht="13" x14ac:dyDescent="0.15">
      <c r="B1098" s="3"/>
      <c r="C1098" s="3"/>
      <c r="D1098" s="3"/>
    </row>
    <row r="1099" spans="2:4" ht="13" x14ac:dyDescent="0.15">
      <c r="B1099" s="3"/>
      <c r="C1099" s="3"/>
      <c r="D1099" s="3"/>
    </row>
    <row r="1100" spans="2:4" ht="13" x14ac:dyDescent="0.15">
      <c r="B1100" s="3"/>
      <c r="C1100" s="3"/>
      <c r="D1100" s="3"/>
    </row>
    <row r="1101" spans="2:4" ht="13" x14ac:dyDescent="0.15">
      <c r="B1101" s="3"/>
      <c r="C1101" s="3"/>
      <c r="D1101" s="3"/>
    </row>
    <row r="1102" spans="2:4" ht="13" x14ac:dyDescent="0.15">
      <c r="B1102" s="3"/>
      <c r="C1102" s="3"/>
      <c r="D1102" s="3"/>
    </row>
    <row r="1103" spans="2:4" ht="13" x14ac:dyDescent="0.15">
      <c r="B1103" s="3"/>
      <c r="C1103" s="3"/>
      <c r="D1103" s="3"/>
    </row>
    <row r="1104" spans="2:4" ht="13" x14ac:dyDescent="0.15">
      <c r="B1104" s="3"/>
      <c r="C1104" s="3"/>
      <c r="D1104" s="3"/>
    </row>
    <row r="1105" spans="2:4" ht="13" x14ac:dyDescent="0.15">
      <c r="B1105" s="3"/>
      <c r="C1105" s="3"/>
      <c r="D1105" s="3"/>
    </row>
    <row r="1106" spans="2:4" ht="13" x14ac:dyDescent="0.15">
      <c r="B1106" s="3"/>
      <c r="C1106" s="3"/>
      <c r="D1106" s="3"/>
    </row>
    <row r="1107" spans="2:4" ht="13" x14ac:dyDescent="0.15">
      <c r="B1107" s="3"/>
      <c r="C1107" s="3"/>
      <c r="D1107" s="3"/>
    </row>
    <row r="1108" spans="2:4" ht="13" x14ac:dyDescent="0.15">
      <c r="B1108" s="3"/>
      <c r="C1108" s="3"/>
      <c r="D1108" s="3"/>
    </row>
    <row r="1109" spans="2:4" ht="13" x14ac:dyDescent="0.15">
      <c r="B1109" s="3"/>
      <c r="C1109" s="3"/>
      <c r="D1109" s="3"/>
    </row>
    <row r="1110" spans="2:4" ht="13" x14ac:dyDescent="0.15">
      <c r="B1110" s="3"/>
      <c r="C1110" s="3"/>
      <c r="D1110" s="3"/>
    </row>
    <row r="1111" spans="2:4" ht="13" x14ac:dyDescent="0.15">
      <c r="B1111" s="3"/>
      <c r="C1111" s="3"/>
      <c r="D1111" s="3"/>
    </row>
    <row r="1112" spans="2:4" ht="13" x14ac:dyDescent="0.15">
      <c r="B1112" s="3"/>
      <c r="C1112" s="3"/>
      <c r="D1112" s="3"/>
    </row>
    <row r="1113" spans="2:4" ht="13" x14ac:dyDescent="0.15">
      <c r="B1113" s="3"/>
      <c r="C1113" s="3"/>
      <c r="D1113" s="3"/>
    </row>
    <row r="1114" spans="2:4" ht="13" x14ac:dyDescent="0.15">
      <c r="B1114" s="3"/>
      <c r="C1114" s="3"/>
      <c r="D1114" s="3"/>
    </row>
    <row r="1115" spans="2:4" ht="13" x14ac:dyDescent="0.15">
      <c r="B1115" s="3"/>
      <c r="C1115" s="3"/>
      <c r="D1115" s="3"/>
    </row>
    <row r="1116" spans="2:4" ht="13" x14ac:dyDescent="0.15">
      <c r="B1116" s="3"/>
      <c r="C1116" s="3"/>
      <c r="D1116" s="3"/>
    </row>
    <row r="1117" spans="2:4" ht="13" x14ac:dyDescent="0.15">
      <c r="B1117" s="3"/>
      <c r="C1117" s="3"/>
      <c r="D1117" s="3"/>
    </row>
    <row r="1118" spans="2:4" ht="13" x14ac:dyDescent="0.15">
      <c r="B1118" s="3"/>
      <c r="C1118" s="3"/>
      <c r="D1118" s="3"/>
    </row>
    <row r="1119" spans="2:4" ht="13" x14ac:dyDescent="0.15">
      <c r="B1119" s="3"/>
      <c r="C1119" s="3"/>
      <c r="D1119" s="3"/>
    </row>
    <row r="1120" spans="2:4" ht="13" x14ac:dyDescent="0.15">
      <c r="B1120" s="3"/>
      <c r="C1120" s="3"/>
      <c r="D1120" s="3"/>
    </row>
    <row r="1121" spans="2:4" ht="13" x14ac:dyDescent="0.15">
      <c r="B1121" s="3"/>
      <c r="C1121" s="3"/>
      <c r="D1121" s="3"/>
    </row>
    <row r="1122" spans="2:4" ht="13" x14ac:dyDescent="0.15">
      <c r="B1122" s="3"/>
      <c r="C1122" s="3"/>
      <c r="D1122" s="3"/>
    </row>
    <row r="1123" spans="2:4" ht="13" x14ac:dyDescent="0.15">
      <c r="B1123" s="3"/>
      <c r="C1123" s="3"/>
      <c r="D1123" s="3"/>
    </row>
    <row r="1124" spans="2:4" ht="13" x14ac:dyDescent="0.15">
      <c r="B1124" s="3"/>
      <c r="C1124" s="3"/>
      <c r="D1124" s="3"/>
    </row>
    <row r="1125" spans="2:4" ht="13" x14ac:dyDescent="0.15">
      <c r="B1125" s="3"/>
      <c r="C1125" s="3"/>
      <c r="D1125" s="3"/>
    </row>
    <row r="1126" spans="2:4" ht="13" x14ac:dyDescent="0.15">
      <c r="B1126" s="3"/>
      <c r="C1126" s="3"/>
      <c r="D1126" s="3"/>
    </row>
    <row r="1127" spans="2:4" ht="13" x14ac:dyDescent="0.15">
      <c r="B1127" s="3"/>
      <c r="C1127" s="3"/>
      <c r="D1127" s="3"/>
    </row>
    <row r="1128" spans="2:4" ht="13" x14ac:dyDescent="0.15">
      <c r="B1128" s="3"/>
      <c r="C1128" s="3"/>
      <c r="D1128" s="3"/>
    </row>
    <row r="1129" spans="2:4" ht="13" x14ac:dyDescent="0.15">
      <c r="B1129" s="3"/>
      <c r="C1129" s="3"/>
      <c r="D1129" s="3"/>
    </row>
    <row r="1130" spans="2:4" ht="13" x14ac:dyDescent="0.15">
      <c r="B1130" s="3"/>
      <c r="C1130" s="3"/>
      <c r="D1130" s="3"/>
    </row>
    <row r="1131" spans="2:4" ht="13" x14ac:dyDescent="0.15">
      <c r="B1131" s="3"/>
      <c r="C1131" s="3"/>
      <c r="D1131" s="3"/>
    </row>
    <row r="1132" spans="2:4" ht="13" x14ac:dyDescent="0.15">
      <c r="B1132" s="3"/>
      <c r="C1132" s="3"/>
      <c r="D1132" s="3"/>
    </row>
    <row r="1133" spans="2:4" ht="13" x14ac:dyDescent="0.15">
      <c r="B1133" s="3"/>
      <c r="C1133" s="3"/>
      <c r="D1133" s="3"/>
    </row>
    <row r="1134" spans="2:4" ht="13" x14ac:dyDescent="0.15">
      <c r="B1134" s="3"/>
      <c r="C1134" s="3"/>
      <c r="D1134" s="3"/>
    </row>
    <row r="1135" spans="2:4" ht="13" x14ac:dyDescent="0.15">
      <c r="B1135" s="3"/>
      <c r="C1135" s="3"/>
      <c r="D1135" s="3"/>
    </row>
    <row r="1136" spans="2:4" ht="13" x14ac:dyDescent="0.15">
      <c r="B1136" s="3"/>
      <c r="C1136" s="3"/>
      <c r="D1136" s="3"/>
    </row>
    <row r="1137" spans="2:4" ht="13" x14ac:dyDescent="0.15">
      <c r="B1137" s="3"/>
      <c r="C1137" s="3"/>
      <c r="D1137" s="3"/>
    </row>
    <row r="1138" spans="2:4" ht="13" x14ac:dyDescent="0.15">
      <c r="B1138" s="3"/>
      <c r="C1138" s="3"/>
      <c r="D1138" s="3"/>
    </row>
    <row r="1139" spans="2:4" ht="13" x14ac:dyDescent="0.15">
      <c r="B1139" s="3"/>
      <c r="C1139" s="3"/>
      <c r="D1139" s="3"/>
    </row>
    <row r="1140" spans="2:4" ht="13" x14ac:dyDescent="0.15">
      <c r="B1140" s="3"/>
      <c r="C1140" s="3"/>
      <c r="D1140" s="3"/>
    </row>
    <row r="1141" spans="2:4" ht="13" x14ac:dyDescent="0.15">
      <c r="B1141" s="3"/>
      <c r="C1141" s="3"/>
      <c r="D1141" s="3"/>
    </row>
    <row r="1142" spans="2:4" ht="13" x14ac:dyDescent="0.15">
      <c r="B1142" s="3"/>
      <c r="C1142" s="3"/>
      <c r="D1142" s="3"/>
    </row>
    <row r="1143" spans="2:4" ht="13" x14ac:dyDescent="0.15">
      <c r="B1143" s="3"/>
      <c r="C1143" s="3"/>
      <c r="D1143" s="3"/>
    </row>
    <row r="1144" spans="2:4" ht="13" x14ac:dyDescent="0.15">
      <c r="B1144" s="3"/>
      <c r="C1144" s="3"/>
      <c r="D1144" s="3"/>
    </row>
    <row r="1145" spans="2:4" ht="13" x14ac:dyDescent="0.15">
      <c r="B1145" s="3"/>
      <c r="C1145" s="3"/>
      <c r="D1145" s="3"/>
    </row>
    <row r="1146" spans="2:4" ht="13" x14ac:dyDescent="0.15">
      <c r="B1146" s="3"/>
      <c r="C1146" s="3"/>
      <c r="D1146" s="3"/>
    </row>
    <row r="1147" spans="2:4" ht="13" x14ac:dyDescent="0.15">
      <c r="B1147" s="3"/>
      <c r="C1147" s="3"/>
      <c r="D1147" s="3"/>
    </row>
    <row r="1148" spans="2:4" ht="13" x14ac:dyDescent="0.15">
      <c r="B1148" s="3"/>
      <c r="C1148" s="3"/>
      <c r="D1148" s="3"/>
    </row>
    <row r="1149" spans="2:4" ht="13" x14ac:dyDescent="0.15">
      <c r="B1149" s="3"/>
      <c r="C1149" s="3"/>
      <c r="D1149" s="3"/>
    </row>
    <row r="1150" spans="2:4" ht="13" x14ac:dyDescent="0.15">
      <c r="B1150" s="3"/>
      <c r="C1150" s="3"/>
      <c r="D1150" s="3"/>
    </row>
    <row r="1151" spans="2:4" ht="13" x14ac:dyDescent="0.15">
      <c r="B1151" s="3"/>
      <c r="C1151" s="3"/>
      <c r="D1151" s="3"/>
    </row>
    <row r="1152" spans="2:4" ht="13" x14ac:dyDescent="0.15">
      <c r="B1152" s="3"/>
      <c r="C1152" s="3"/>
      <c r="D1152" s="3"/>
    </row>
    <row r="1153" spans="2:4" ht="13" x14ac:dyDescent="0.15">
      <c r="B1153" s="3"/>
      <c r="C1153" s="3"/>
      <c r="D1153" s="3"/>
    </row>
    <row r="1154" spans="2:4" ht="13" x14ac:dyDescent="0.15">
      <c r="B1154" s="3"/>
      <c r="C1154" s="3"/>
      <c r="D1154" s="3"/>
    </row>
    <row r="1155" spans="2:4" ht="13" x14ac:dyDescent="0.15">
      <c r="B1155" s="3"/>
      <c r="C1155" s="3"/>
      <c r="D1155" s="3"/>
    </row>
    <row r="1156" spans="2:4" ht="13" x14ac:dyDescent="0.15">
      <c r="B1156" s="3"/>
      <c r="C1156" s="3"/>
      <c r="D1156" s="3"/>
    </row>
    <row r="1157" spans="2:4" ht="13" x14ac:dyDescent="0.15">
      <c r="B1157" s="3"/>
      <c r="C1157" s="3"/>
      <c r="D1157" s="3"/>
    </row>
    <row r="1158" spans="2:4" ht="13" x14ac:dyDescent="0.15">
      <c r="B1158" s="3"/>
      <c r="C1158" s="3"/>
      <c r="D1158" s="3"/>
    </row>
    <row r="1159" spans="2:4" ht="13" x14ac:dyDescent="0.15">
      <c r="B1159" s="3"/>
      <c r="C1159" s="3"/>
      <c r="D1159" s="3"/>
    </row>
    <row r="1160" spans="2:4" ht="13" x14ac:dyDescent="0.15">
      <c r="B1160" s="3"/>
      <c r="C1160" s="3"/>
      <c r="D1160" s="3"/>
    </row>
    <row r="1161" spans="2:4" ht="13" x14ac:dyDescent="0.15">
      <c r="B1161" s="3"/>
      <c r="C1161" s="3"/>
      <c r="D1161" s="3"/>
    </row>
    <row r="1162" spans="2:4" ht="13" x14ac:dyDescent="0.15">
      <c r="B1162" s="3"/>
      <c r="C1162" s="3"/>
      <c r="D1162" s="3"/>
    </row>
    <row r="1163" spans="2:4" ht="13" x14ac:dyDescent="0.15">
      <c r="B1163" s="3"/>
      <c r="C1163" s="3"/>
      <c r="D1163" s="3"/>
    </row>
    <row r="1164" spans="2:4" ht="13" x14ac:dyDescent="0.15">
      <c r="B1164" s="3"/>
      <c r="C1164" s="3"/>
      <c r="D1164" s="3"/>
    </row>
    <row r="1165" spans="2:4" ht="13" x14ac:dyDescent="0.15">
      <c r="B1165" s="3"/>
      <c r="C1165" s="3"/>
      <c r="D1165" s="3"/>
    </row>
    <row r="1166" spans="2:4" ht="13" x14ac:dyDescent="0.15">
      <c r="B1166" s="3"/>
      <c r="C1166" s="3"/>
      <c r="D1166" s="3"/>
    </row>
    <row r="1167" spans="2:4" ht="13" x14ac:dyDescent="0.15">
      <c r="B1167" s="3"/>
      <c r="C1167" s="3"/>
      <c r="D1167" s="3"/>
    </row>
    <row r="1168" spans="2:4" ht="13" x14ac:dyDescent="0.15">
      <c r="B1168" s="3"/>
      <c r="C1168" s="3"/>
      <c r="D1168" s="3"/>
    </row>
    <row r="1169" spans="2:4" ht="13" x14ac:dyDescent="0.15">
      <c r="B1169" s="3"/>
      <c r="C1169" s="3"/>
      <c r="D1169" s="3"/>
    </row>
    <row r="1170" spans="2:4" ht="13" x14ac:dyDescent="0.15">
      <c r="B1170" s="3"/>
      <c r="C1170" s="3"/>
      <c r="D1170" s="3"/>
    </row>
    <row r="1171" spans="2:4" ht="13" x14ac:dyDescent="0.15">
      <c r="B1171" s="3"/>
      <c r="C1171" s="3"/>
      <c r="D1171" s="3"/>
    </row>
    <row r="1172" spans="2:4" ht="13" x14ac:dyDescent="0.15">
      <c r="B1172" s="3"/>
      <c r="C1172" s="3"/>
      <c r="D1172" s="3"/>
    </row>
    <row r="1173" spans="2:4" ht="13" x14ac:dyDescent="0.15">
      <c r="B1173" s="3"/>
      <c r="C1173" s="3"/>
      <c r="D1173" s="3"/>
    </row>
    <row r="1174" spans="2:4" ht="13" x14ac:dyDescent="0.15">
      <c r="B1174" s="3"/>
      <c r="C1174" s="3"/>
      <c r="D1174" s="3"/>
    </row>
    <row r="1175" spans="2:4" ht="13" x14ac:dyDescent="0.15">
      <c r="B1175" s="3"/>
      <c r="C1175" s="3"/>
      <c r="D1175" s="3"/>
    </row>
    <row r="1176" spans="2:4" ht="13" x14ac:dyDescent="0.15">
      <c r="B1176" s="3"/>
      <c r="C1176" s="3"/>
      <c r="D1176" s="3"/>
    </row>
    <row r="1177" spans="2:4" ht="13" x14ac:dyDescent="0.15">
      <c r="B1177" s="3"/>
      <c r="C1177" s="3"/>
      <c r="D1177" s="3"/>
    </row>
    <row r="1178" spans="2:4" ht="13" x14ac:dyDescent="0.15">
      <c r="B1178" s="3"/>
      <c r="C1178" s="3"/>
      <c r="D1178" s="3"/>
    </row>
    <row r="1179" spans="2:4" ht="13" x14ac:dyDescent="0.15">
      <c r="B1179" s="3"/>
      <c r="C1179" s="3"/>
      <c r="D1179" s="3"/>
    </row>
    <row r="1180" spans="2:4" ht="13" x14ac:dyDescent="0.15">
      <c r="B1180" s="3"/>
      <c r="C1180" s="3"/>
      <c r="D1180" s="3"/>
    </row>
    <row r="1181" spans="2:4" ht="13" x14ac:dyDescent="0.15">
      <c r="B1181" s="3"/>
      <c r="C1181" s="3"/>
      <c r="D1181" s="3"/>
    </row>
    <row r="1182" spans="2:4" ht="13" x14ac:dyDescent="0.15">
      <c r="B1182" s="3"/>
      <c r="C1182" s="3"/>
      <c r="D1182" s="3"/>
    </row>
    <row r="1183" spans="2:4" ht="13" x14ac:dyDescent="0.15">
      <c r="B1183" s="3"/>
      <c r="C1183" s="3"/>
      <c r="D1183" s="3"/>
    </row>
    <row r="1184" spans="2:4" ht="13" x14ac:dyDescent="0.15">
      <c r="B1184" s="3"/>
      <c r="C1184" s="3"/>
      <c r="D1184" s="3"/>
    </row>
    <row r="1185" spans="2:4" ht="13" x14ac:dyDescent="0.15">
      <c r="B1185" s="3"/>
      <c r="C1185" s="3"/>
      <c r="D1185" s="3"/>
    </row>
    <row r="1186" spans="2:4" ht="13" x14ac:dyDescent="0.15">
      <c r="B1186" s="3"/>
      <c r="C1186" s="3"/>
      <c r="D1186" s="3"/>
    </row>
    <row r="1187" spans="2:4" ht="13" x14ac:dyDescent="0.15">
      <c r="B1187" s="3"/>
      <c r="C1187" s="3"/>
      <c r="D1187" s="3"/>
    </row>
    <row r="1188" spans="2:4" ht="13" x14ac:dyDescent="0.15">
      <c r="B1188" s="3"/>
      <c r="C1188" s="3"/>
      <c r="D1188" s="3"/>
    </row>
    <row r="1189" spans="2:4" ht="13" x14ac:dyDescent="0.15">
      <c r="B1189" s="3"/>
      <c r="C1189" s="3"/>
      <c r="D1189" s="3"/>
    </row>
    <row r="1190" spans="2:4" ht="13" x14ac:dyDescent="0.15">
      <c r="B1190" s="3"/>
      <c r="C1190" s="3"/>
      <c r="D1190" s="3"/>
    </row>
    <row r="1191" spans="2:4" ht="13" x14ac:dyDescent="0.15">
      <c r="B1191" s="3"/>
      <c r="C1191" s="3"/>
      <c r="D1191" s="3"/>
    </row>
    <row r="1192" spans="2:4" ht="13" x14ac:dyDescent="0.15">
      <c r="B1192" s="3"/>
      <c r="C1192" s="3"/>
      <c r="D1192" s="3"/>
    </row>
    <row r="1193" spans="2:4" ht="13" x14ac:dyDescent="0.15">
      <c r="B1193" s="3"/>
      <c r="C1193" s="3"/>
      <c r="D1193" s="3"/>
    </row>
    <row r="1194" spans="2:4" ht="13" x14ac:dyDescent="0.15">
      <c r="B1194" s="3"/>
      <c r="C1194" s="3"/>
      <c r="D1194" s="3"/>
    </row>
    <row r="1195" spans="2:4" ht="13" x14ac:dyDescent="0.15">
      <c r="B1195" s="3"/>
      <c r="C1195" s="3"/>
      <c r="D1195" s="3"/>
    </row>
    <row r="1196" spans="2:4" ht="13" x14ac:dyDescent="0.15">
      <c r="B1196" s="3"/>
      <c r="C1196" s="3"/>
      <c r="D1196" s="3"/>
    </row>
    <row r="1197" spans="2:4" ht="13" x14ac:dyDescent="0.15">
      <c r="B1197" s="3"/>
      <c r="C1197" s="3"/>
      <c r="D1197" s="3"/>
    </row>
    <row r="1198" spans="2:4" ht="13" x14ac:dyDescent="0.15">
      <c r="B1198" s="3"/>
      <c r="C1198" s="3"/>
      <c r="D1198" s="3"/>
    </row>
    <row r="1199" spans="2:4" ht="13" x14ac:dyDescent="0.15">
      <c r="B1199" s="3"/>
      <c r="C1199" s="3"/>
      <c r="D1199" s="3"/>
    </row>
    <row r="1200" spans="2:4" ht="13" x14ac:dyDescent="0.15">
      <c r="B1200" s="3"/>
      <c r="C1200" s="3"/>
      <c r="D1200" s="3"/>
    </row>
    <row r="1201" spans="2:4" ht="13" x14ac:dyDescent="0.15">
      <c r="B1201" s="3"/>
      <c r="C1201" s="3"/>
      <c r="D1201" s="3"/>
    </row>
    <row r="1202" spans="2:4" ht="13" x14ac:dyDescent="0.15">
      <c r="B1202" s="3"/>
      <c r="C1202" s="3"/>
      <c r="D1202" s="3"/>
    </row>
    <row r="1203" spans="2:4" ht="13" x14ac:dyDescent="0.15">
      <c r="B1203" s="3"/>
      <c r="C1203" s="3"/>
      <c r="D1203" s="3"/>
    </row>
    <row r="1204" spans="2:4" ht="13" x14ac:dyDescent="0.15">
      <c r="B1204" s="3"/>
      <c r="C1204" s="3"/>
      <c r="D1204" s="3"/>
    </row>
    <row r="1205" spans="2:4" ht="13" x14ac:dyDescent="0.15">
      <c r="B1205" s="3"/>
      <c r="C1205" s="3"/>
      <c r="D1205" s="3"/>
    </row>
    <row r="1206" spans="2:4" ht="13" x14ac:dyDescent="0.15">
      <c r="B1206" s="3"/>
      <c r="C1206" s="3"/>
      <c r="D1206" s="3"/>
    </row>
    <row r="1207" spans="2:4" ht="13" x14ac:dyDescent="0.15">
      <c r="B1207" s="3"/>
      <c r="C1207" s="3"/>
      <c r="D1207" s="3"/>
    </row>
    <row r="1208" spans="2:4" ht="13" x14ac:dyDescent="0.15">
      <c r="B1208" s="3"/>
      <c r="C1208" s="3"/>
      <c r="D1208" s="3"/>
    </row>
    <row r="1209" spans="2:4" ht="13" x14ac:dyDescent="0.15">
      <c r="B1209" s="3"/>
      <c r="C1209" s="3"/>
      <c r="D1209" s="3"/>
    </row>
    <row r="1210" spans="2:4" ht="13" x14ac:dyDescent="0.15">
      <c r="B1210" s="3"/>
      <c r="C1210" s="3"/>
      <c r="D1210" s="3"/>
    </row>
    <row r="1211" spans="2:4" ht="13" x14ac:dyDescent="0.15">
      <c r="B1211" s="3"/>
      <c r="C1211" s="3"/>
      <c r="D1211" s="3"/>
    </row>
    <row r="1212" spans="2:4" ht="13" x14ac:dyDescent="0.15">
      <c r="B1212" s="3"/>
      <c r="C1212" s="3"/>
      <c r="D1212" s="3"/>
    </row>
    <row r="1213" spans="2:4" ht="13" x14ac:dyDescent="0.15">
      <c r="B1213" s="3"/>
      <c r="C1213" s="3"/>
      <c r="D1213" s="3"/>
    </row>
    <row r="1214" spans="2:4" ht="13" x14ac:dyDescent="0.15">
      <c r="B1214" s="3"/>
      <c r="C1214" s="3"/>
      <c r="D1214" s="3"/>
    </row>
    <row r="1215" spans="2:4" ht="13" x14ac:dyDescent="0.15">
      <c r="B1215" s="3"/>
      <c r="C1215" s="3"/>
      <c r="D1215" s="3"/>
    </row>
    <row r="1216" spans="2:4" ht="13" x14ac:dyDescent="0.15">
      <c r="B1216" s="3"/>
      <c r="C1216" s="3"/>
      <c r="D1216" s="3"/>
    </row>
    <row r="1217" spans="2:4" ht="13" x14ac:dyDescent="0.15">
      <c r="B1217" s="3"/>
      <c r="C1217" s="3"/>
      <c r="D1217" s="3"/>
    </row>
    <row r="1218" spans="2:4" ht="13" x14ac:dyDescent="0.15">
      <c r="B1218" s="3"/>
      <c r="C1218" s="3"/>
      <c r="D1218" s="3"/>
    </row>
    <row r="1219" spans="2:4" ht="13" x14ac:dyDescent="0.15">
      <c r="B1219" s="3"/>
      <c r="C1219" s="3"/>
      <c r="D1219" s="3"/>
    </row>
    <row r="1220" spans="2:4" ht="13" x14ac:dyDescent="0.15">
      <c r="B1220" s="3"/>
      <c r="C1220" s="3"/>
      <c r="D1220" s="3"/>
    </row>
    <row r="1221" spans="2:4" ht="13" x14ac:dyDescent="0.15">
      <c r="B1221" s="3"/>
      <c r="C1221" s="3"/>
      <c r="D1221" s="3"/>
    </row>
    <row r="1222" spans="2:4" ht="13" x14ac:dyDescent="0.15">
      <c r="B1222" s="3"/>
      <c r="C1222" s="3"/>
      <c r="D1222" s="3"/>
    </row>
    <row r="1223" spans="2:4" ht="13" x14ac:dyDescent="0.15">
      <c r="B1223" s="3"/>
      <c r="C1223" s="3"/>
      <c r="D1223" s="3"/>
    </row>
    <row r="1224" spans="2:4" ht="13" x14ac:dyDescent="0.15">
      <c r="B1224" s="3"/>
      <c r="C1224" s="3"/>
      <c r="D1224" s="3"/>
    </row>
    <row r="1225" spans="2:4" ht="13" x14ac:dyDescent="0.15">
      <c r="B1225" s="3"/>
      <c r="C1225" s="3"/>
      <c r="D1225" s="3"/>
    </row>
    <row r="1226" spans="2:4" ht="13" x14ac:dyDescent="0.15">
      <c r="B1226" s="3"/>
      <c r="C1226" s="3"/>
      <c r="D1226" s="3"/>
    </row>
    <row r="1227" spans="2:4" ht="13" x14ac:dyDescent="0.15">
      <c r="B1227" s="3"/>
      <c r="C1227" s="3"/>
      <c r="D1227" s="3"/>
    </row>
    <row r="1228" spans="2:4" ht="13" x14ac:dyDescent="0.15">
      <c r="B1228" s="3"/>
      <c r="C1228" s="3"/>
      <c r="D1228" s="3"/>
    </row>
    <row r="1229" spans="2:4" ht="13" x14ac:dyDescent="0.15">
      <c r="B1229" s="3"/>
      <c r="C1229" s="3"/>
      <c r="D1229" s="3"/>
    </row>
    <row r="1230" spans="2:4" ht="13" x14ac:dyDescent="0.15">
      <c r="B1230" s="3"/>
      <c r="C1230" s="3"/>
      <c r="D1230" s="3"/>
    </row>
    <row r="1231" spans="2:4" ht="13" x14ac:dyDescent="0.15">
      <c r="B1231" s="3"/>
      <c r="C1231" s="3"/>
      <c r="D1231" s="3"/>
    </row>
    <row r="1232" spans="2:4" ht="13" x14ac:dyDescent="0.15">
      <c r="B1232" s="3"/>
      <c r="C1232" s="3"/>
      <c r="D1232" s="3"/>
    </row>
    <row r="1233" spans="2:4" ht="13" x14ac:dyDescent="0.15">
      <c r="B1233" s="3"/>
      <c r="C1233" s="3"/>
      <c r="D1233" s="3"/>
    </row>
    <row r="1234" spans="2:4" ht="13" x14ac:dyDescent="0.15">
      <c r="B1234" s="3"/>
      <c r="C1234" s="3"/>
      <c r="D1234" s="3"/>
    </row>
    <row r="1235" spans="2:4" ht="13" x14ac:dyDescent="0.15">
      <c r="B1235" s="3"/>
      <c r="C1235" s="3"/>
      <c r="D1235" s="3"/>
    </row>
    <row r="1236" spans="2:4" ht="13" x14ac:dyDescent="0.15">
      <c r="B1236" s="3"/>
      <c r="C1236" s="3"/>
      <c r="D1236" s="3"/>
    </row>
    <row r="1237" spans="2:4" ht="13" x14ac:dyDescent="0.15">
      <c r="B1237" s="3"/>
      <c r="C1237" s="3"/>
      <c r="D1237" s="3"/>
    </row>
    <row r="1238" spans="2:4" ht="13" x14ac:dyDescent="0.15">
      <c r="B1238" s="3"/>
      <c r="C1238" s="3"/>
      <c r="D1238" s="3"/>
    </row>
    <row r="1239" spans="2:4" ht="13" x14ac:dyDescent="0.15">
      <c r="B1239" s="3"/>
      <c r="C1239" s="3"/>
      <c r="D1239" s="3"/>
    </row>
    <row r="1240" spans="2:4" ht="13" x14ac:dyDescent="0.15">
      <c r="B1240" s="3"/>
      <c r="C1240" s="3"/>
      <c r="D1240" s="3"/>
    </row>
    <row r="1241" spans="2:4" ht="13" x14ac:dyDescent="0.15">
      <c r="B1241" s="3"/>
      <c r="C1241" s="3"/>
      <c r="D1241" s="3"/>
    </row>
    <row r="1242" spans="2:4" ht="13" x14ac:dyDescent="0.15">
      <c r="B1242" s="3"/>
      <c r="C1242" s="3"/>
      <c r="D1242" s="3"/>
    </row>
    <row r="1243" spans="2:4" ht="13" x14ac:dyDescent="0.15">
      <c r="B1243" s="3"/>
      <c r="C1243" s="3"/>
      <c r="D1243" s="3"/>
    </row>
    <row r="1244" spans="2:4" ht="13" x14ac:dyDescent="0.15">
      <c r="B1244" s="3"/>
      <c r="C1244" s="3"/>
      <c r="D1244" s="3"/>
    </row>
    <row r="1245" spans="2:4" ht="13" x14ac:dyDescent="0.15">
      <c r="B1245" s="3"/>
      <c r="C1245" s="3"/>
      <c r="D1245" s="3"/>
    </row>
    <row r="1246" spans="2:4" ht="13" x14ac:dyDescent="0.15">
      <c r="B1246" s="3"/>
      <c r="C1246" s="3"/>
      <c r="D1246" s="3"/>
    </row>
    <row r="1247" spans="2:4" ht="13" x14ac:dyDescent="0.15">
      <c r="B1247" s="3"/>
      <c r="C1247" s="3"/>
      <c r="D1247" s="3"/>
    </row>
    <row r="1248" spans="2:4" ht="13" x14ac:dyDescent="0.15">
      <c r="B1248" s="3"/>
      <c r="C1248" s="3"/>
      <c r="D1248" s="3"/>
    </row>
    <row r="1249" spans="2:4" ht="13" x14ac:dyDescent="0.15">
      <c r="B1249" s="3"/>
      <c r="C1249" s="3"/>
      <c r="D1249" s="3"/>
    </row>
    <row r="1250" spans="2:4" ht="13" x14ac:dyDescent="0.15">
      <c r="B1250" s="3"/>
      <c r="C1250" s="3"/>
      <c r="D1250" s="3"/>
    </row>
    <row r="1251" spans="2:4" ht="13" x14ac:dyDescent="0.15">
      <c r="B1251" s="3"/>
      <c r="C1251" s="3"/>
      <c r="D1251" s="3"/>
    </row>
    <row r="1252" spans="2:4" ht="13" x14ac:dyDescent="0.15">
      <c r="B1252" s="3"/>
      <c r="C1252" s="3"/>
      <c r="D1252" s="3"/>
    </row>
    <row r="1253" spans="2:4" ht="13" x14ac:dyDescent="0.15">
      <c r="B1253" s="3"/>
      <c r="C1253" s="3"/>
      <c r="D1253" s="3"/>
    </row>
    <row r="1254" spans="2:4" ht="13" x14ac:dyDescent="0.15">
      <c r="B1254" s="3"/>
      <c r="C1254" s="3"/>
      <c r="D1254" s="3"/>
    </row>
    <row r="1255" spans="2:4" ht="13" x14ac:dyDescent="0.15">
      <c r="B1255" s="3"/>
      <c r="C1255" s="3"/>
      <c r="D1255" s="3"/>
    </row>
    <row r="1256" spans="2:4" ht="13" x14ac:dyDescent="0.15">
      <c r="B1256" s="3"/>
      <c r="C1256" s="3"/>
      <c r="D1256" s="3"/>
    </row>
    <row r="1257" spans="2:4" ht="13" x14ac:dyDescent="0.15">
      <c r="B1257" s="3"/>
      <c r="C1257" s="3"/>
      <c r="D1257" s="3"/>
    </row>
    <row r="1258" spans="2:4" ht="13" x14ac:dyDescent="0.15">
      <c r="B1258" s="3"/>
      <c r="C1258" s="3"/>
      <c r="D1258" s="3"/>
    </row>
    <row r="1259" spans="2:4" ht="13" x14ac:dyDescent="0.15">
      <c r="B1259" s="3"/>
      <c r="C1259" s="3"/>
      <c r="D1259" s="3"/>
    </row>
    <row r="1260" spans="2:4" ht="13" x14ac:dyDescent="0.15">
      <c r="B1260" s="3"/>
      <c r="C1260" s="3"/>
      <c r="D1260" s="3"/>
    </row>
    <row r="1261" spans="2:4" ht="13" x14ac:dyDescent="0.15">
      <c r="B1261" s="3"/>
      <c r="C1261" s="3"/>
      <c r="D1261" s="3"/>
    </row>
    <row r="1262" spans="2:4" ht="13" x14ac:dyDescent="0.15">
      <c r="B1262" s="3"/>
      <c r="C1262" s="3"/>
      <c r="D1262" s="3"/>
    </row>
    <row r="1263" spans="2:4" ht="13" x14ac:dyDescent="0.15">
      <c r="B1263" s="3"/>
      <c r="C1263" s="3"/>
      <c r="D1263" s="3"/>
    </row>
    <row r="1264" spans="2:4" ht="13" x14ac:dyDescent="0.15">
      <c r="B1264" s="3"/>
      <c r="C1264" s="3"/>
      <c r="D1264" s="3"/>
    </row>
    <row r="1265" spans="2:4" ht="13" x14ac:dyDescent="0.15">
      <c r="B1265" s="3"/>
      <c r="C1265" s="3"/>
      <c r="D1265" s="3"/>
    </row>
    <row r="1266" spans="2:4" ht="13" x14ac:dyDescent="0.15">
      <c r="B1266" s="3"/>
      <c r="C1266" s="3"/>
      <c r="D1266" s="3"/>
    </row>
    <row r="1267" spans="2:4" ht="13" x14ac:dyDescent="0.15">
      <c r="B1267" s="3"/>
      <c r="C1267" s="3"/>
      <c r="D1267" s="3"/>
    </row>
    <row r="1268" spans="2:4" ht="13" x14ac:dyDescent="0.15">
      <c r="B1268" s="3"/>
      <c r="C1268" s="3"/>
      <c r="D1268" s="3"/>
    </row>
    <row r="1269" spans="2:4" ht="13" x14ac:dyDescent="0.15">
      <c r="B1269" s="3"/>
      <c r="C1269" s="3"/>
      <c r="D1269" s="3"/>
    </row>
    <row r="1270" spans="2:4" ht="13" x14ac:dyDescent="0.15">
      <c r="B1270" s="3"/>
      <c r="C1270" s="3"/>
      <c r="D1270" s="3"/>
    </row>
    <row r="1271" spans="2:4" ht="13" x14ac:dyDescent="0.15">
      <c r="B1271" s="3"/>
      <c r="C1271" s="3"/>
      <c r="D1271" s="3"/>
    </row>
    <row r="1272" spans="2:4" ht="13" x14ac:dyDescent="0.15">
      <c r="B1272" s="3"/>
      <c r="C1272" s="3"/>
      <c r="D1272" s="3"/>
    </row>
    <row r="1273" spans="2:4" ht="13" x14ac:dyDescent="0.15">
      <c r="B1273" s="3"/>
      <c r="C1273" s="3"/>
      <c r="D1273" s="3"/>
    </row>
    <row r="1274" spans="2:4" ht="13" x14ac:dyDescent="0.15">
      <c r="B1274" s="3"/>
      <c r="C1274" s="3"/>
      <c r="D1274" s="3"/>
    </row>
    <row r="1275" spans="2:4" ht="13" x14ac:dyDescent="0.15">
      <c r="B1275" s="3"/>
      <c r="C1275" s="3"/>
      <c r="D1275" s="3"/>
    </row>
    <row r="1276" spans="2:4" ht="13" x14ac:dyDescent="0.15">
      <c r="B1276" s="3"/>
      <c r="C1276" s="3"/>
      <c r="D1276" s="3"/>
    </row>
    <row r="1277" spans="2:4" ht="13" x14ac:dyDescent="0.15">
      <c r="B1277" s="3"/>
      <c r="C1277" s="3"/>
      <c r="D1277" s="3"/>
    </row>
    <row r="1278" spans="2:4" ht="13" x14ac:dyDescent="0.15">
      <c r="B1278" s="3"/>
      <c r="C1278" s="3"/>
      <c r="D1278" s="3"/>
    </row>
    <row r="1279" spans="2:4" ht="13" x14ac:dyDescent="0.15">
      <c r="B1279" s="3"/>
      <c r="C1279" s="3"/>
      <c r="D1279" s="3"/>
    </row>
    <row r="1280" spans="2:4" ht="13" x14ac:dyDescent="0.15">
      <c r="B1280" s="3"/>
      <c r="C1280" s="3"/>
      <c r="D1280" s="3"/>
    </row>
    <row r="1281" spans="2:4" ht="13" x14ac:dyDescent="0.15">
      <c r="B1281" s="3"/>
      <c r="C1281" s="3"/>
      <c r="D1281" s="3"/>
    </row>
    <row r="1282" spans="2:4" ht="13" x14ac:dyDescent="0.15">
      <c r="B1282" s="3"/>
      <c r="C1282" s="3"/>
      <c r="D1282" s="3"/>
    </row>
    <row r="1283" spans="2:4" ht="13" x14ac:dyDescent="0.15">
      <c r="B1283" s="3"/>
      <c r="C1283" s="3"/>
      <c r="D1283" s="3"/>
    </row>
    <row r="1284" spans="2:4" ht="13" x14ac:dyDescent="0.15">
      <c r="B1284" s="3"/>
      <c r="C1284" s="3"/>
      <c r="D1284" s="3"/>
    </row>
    <row r="1285" spans="2:4" ht="13" x14ac:dyDescent="0.15">
      <c r="B1285" s="3"/>
      <c r="C1285" s="3"/>
      <c r="D1285" s="3"/>
    </row>
    <row r="1286" spans="2:4" ht="13" x14ac:dyDescent="0.15">
      <c r="B1286" s="3"/>
      <c r="C1286" s="3"/>
      <c r="D1286" s="3"/>
    </row>
    <row r="1287" spans="2:4" ht="13" x14ac:dyDescent="0.15">
      <c r="B1287" s="3"/>
      <c r="C1287" s="3"/>
      <c r="D1287" s="3"/>
    </row>
    <row r="1288" spans="2:4" ht="13" x14ac:dyDescent="0.15">
      <c r="B1288" s="3"/>
      <c r="C1288" s="3"/>
      <c r="D1288" s="3"/>
    </row>
    <row r="1289" spans="2:4" ht="13" x14ac:dyDescent="0.15">
      <c r="B1289" s="3"/>
      <c r="C1289" s="3"/>
      <c r="D1289" s="3"/>
    </row>
    <row r="1290" spans="2:4" ht="13" x14ac:dyDescent="0.15">
      <c r="B1290" s="3"/>
      <c r="C1290" s="3"/>
      <c r="D1290" s="3"/>
    </row>
    <row r="1291" spans="2:4" ht="13" x14ac:dyDescent="0.15">
      <c r="B1291" s="3"/>
      <c r="C1291" s="3"/>
      <c r="D1291" s="3"/>
    </row>
    <row r="1292" spans="2:4" ht="13" x14ac:dyDescent="0.15">
      <c r="B1292" s="3"/>
      <c r="C1292" s="3"/>
      <c r="D1292" s="3"/>
    </row>
    <row r="1293" spans="2:4" ht="13" x14ac:dyDescent="0.15">
      <c r="B1293" s="3"/>
      <c r="C1293" s="3"/>
      <c r="D1293" s="3"/>
    </row>
    <row r="1294" spans="2:4" ht="13" x14ac:dyDescent="0.15">
      <c r="B1294" s="3"/>
      <c r="C1294" s="3"/>
      <c r="D1294" s="3"/>
    </row>
    <row r="1295" spans="2:4" ht="13" x14ac:dyDescent="0.15">
      <c r="B1295" s="3"/>
      <c r="C1295" s="3"/>
      <c r="D1295" s="3"/>
    </row>
    <row r="1296" spans="2:4" ht="13" x14ac:dyDescent="0.15">
      <c r="B1296" s="3"/>
      <c r="C1296" s="3"/>
      <c r="D1296" s="3"/>
    </row>
    <row r="1297" spans="2:4" ht="13" x14ac:dyDescent="0.15">
      <c r="B1297" s="3"/>
      <c r="C1297" s="3"/>
      <c r="D1297" s="3"/>
    </row>
    <row r="1298" spans="2:4" ht="13" x14ac:dyDescent="0.15">
      <c r="B1298" s="3"/>
      <c r="C1298" s="3"/>
      <c r="D1298" s="3"/>
    </row>
    <row r="1299" spans="2:4" ht="13" x14ac:dyDescent="0.15">
      <c r="B1299" s="3"/>
      <c r="C1299" s="3"/>
      <c r="D1299" s="3"/>
    </row>
    <row r="1300" spans="2:4" ht="13" x14ac:dyDescent="0.15">
      <c r="B1300" s="3"/>
      <c r="C1300" s="3"/>
      <c r="D1300" s="3"/>
    </row>
    <row r="1301" spans="2:4" ht="13" x14ac:dyDescent="0.15">
      <c r="B1301" s="3"/>
      <c r="C1301" s="3"/>
      <c r="D1301" s="3"/>
    </row>
    <row r="1302" spans="2:4" ht="13" x14ac:dyDescent="0.15">
      <c r="B1302" s="3"/>
      <c r="C1302" s="3"/>
      <c r="D1302" s="3"/>
    </row>
    <row r="1303" spans="2:4" ht="13" x14ac:dyDescent="0.15">
      <c r="B1303" s="3"/>
      <c r="C1303" s="3"/>
      <c r="D1303" s="3"/>
    </row>
    <row r="1304" spans="2:4" ht="13" x14ac:dyDescent="0.15">
      <c r="B1304" s="3"/>
      <c r="C1304" s="3"/>
      <c r="D1304" s="3"/>
    </row>
    <row r="1305" spans="2:4" ht="13" x14ac:dyDescent="0.15">
      <c r="B1305" s="3"/>
      <c r="C1305" s="3"/>
      <c r="D1305" s="3"/>
    </row>
    <row r="1306" spans="2:4" ht="13" x14ac:dyDescent="0.15">
      <c r="B1306" s="3"/>
      <c r="C1306" s="3"/>
      <c r="D1306" s="3"/>
    </row>
    <row r="1307" spans="2:4" ht="13" x14ac:dyDescent="0.15">
      <c r="B1307" s="3"/>
      <c r="C1307" s="3"/>
      <c r="D1307" s="3"/>
    </row>
    <row r="1308" spans="2:4" ht="13" x14ac:dyDescent="0.15">
      <c r="B1308" s="3"/>
      <c r="C1308" s="3"/>
      <c r="D1308" s="3"/>
    </row>
    <row r="1309" spans="2:4" ht="13" x14ac:dyDescent="0.15">
      <c r="B1309" s="3"/>
      <c r="C1309" s="3"/>
      <c r="D1309" s="3"/>
    </row>
    <row r="1310" spans="2:4" ht="13" x14ac:dyDescent="0.15">
      <c r="B1310" s="3"/>
      <c r="C1310" s="3"/>
      <c r="D1310" s="3"/>
    </row>
    <row r="1311" spans="2:4" ht="13" x14ac:dyDescent="0.15">
      <c r="B1311" s="3"/>
      <c r="C1311" s="3"/>
      <c r="D1311" s="3"/>
    </row>
    <row r="1312" spans="2:4" ht="13" x14ac:dyDescent="0.15">
      <c r="B1312" s="3"/>
      <c r="C1312" s="3"/>
      <c r="D1312" s="3"/>
    </row>
    <row r="1313" spans="2:4" ht="13" x14ac:dyDescent="0.15">
      <c r="B1313" s="3"/>
      <c r="C1313" s="3"/>
      <c r="D1313" s="3"/>
    </row>
    <row r="1314" spans="2:4" ht="13" x14ac:dyDescent="0.15">
      <c r="B1314" s="3"/>
      <c r="C1314" s="3"/>
      <c r="D1314" s="3"/>
    </row>
    <row r="1315" spans="2:4" ht="13" x14ac:dyDescent="0.15">
      <c r="B1315" s="3"/>
      <c r="C1315" s="3"/>
      <c r="D1315" s="3"/>
    </row>
    <row r="1316" spans="2:4" ht="13" x14ac:dyDescent="0.15">
      <c r="B1316" s="3"/>
      <c r="C1316" s="3"/>
      <c r="D1316" s="3"/>
    </row>
    <row r="1317" spans="2:4" ht="13" x14ac:dyDescent="0.15">
      <c r="B1317" s="3"/>
      <c r="C1317" s="3"/>
      <c r="D1317" s="3"/>
    </row>
    <row r="1318" spans="2:4" ht="13" x14ac:dyDescent="0.15">
      <c r="B1318" s="3"/>
      <c r="C1318" s="3"/>
      <c r="D1318" s="3"/>
    </row>
    <row r="1319" spans="2:4" ht="13" x14ac:dyDescent="0.15">
      <c r="B1319" s="3"/>
      <c r="C1319" s="3"/>
      <c r="D1319" s="3"/>
    </row>
    <row r="1320" spans="2:4" ht="13" x14ac:dyDescent="0.15">
      <c r="B1320" s="3"/>
      <c r="C1320" s="3"/>
      <c r="D1320" s="3"/>
    </row>
    <row r="1321" spans="2:4" ht="13" x14ac:dyDescent="0.15">
      <c r="B1321" s="3"/>
      <c r="C1321" s="3"/>
      <c r="D1321" s="3"/>
    </row>
    <row r="1322" spans="2:4" ht="13" x14ac:dyDescent="0.15">
      <c r="B1322" s="3"/>
      <c r="C1322" s="3"/>
      <c r="D1322" s="3"/>
    </row>
    <row r="1323" spans="2:4" ht="13" x14ac:dyDescent="0.15">
      <c r="B1323" s="3"/>
      <c r="C1323" s="3"/>
      <c r="D1323" s="3"/>
    </row>
    <row r="1324" spans="2:4" ht="13" x14ac:dyDescent="0.15">
      <c r="B1324" s="3"/>
      <c r="C1324" s="3"/>
      <c r="D1324" s="3"/>
    </row>
    <row r="1325" spans="2:4" ht="13" x14ac:dyDescent="0.15">
      <c r="B1325" s="3"/>
      <c r="C1325" s="3"/>
      <c r="D1325" s="3"/>
    </row>
    <row r="1326" spans="2:4" ht="13" x14ac:dyDescent="0.15">
      <c r="B1326" s="3"/>
      <c r="C1326" s="3"/>
      <c r="D1326" s="3"/>
    </row>
    <row r="1327" spans="2:4" ht="13" x14ac:dyDescent="0.15">
      <c r="B1327" s="3"/>
      <c r="C1327" s="3"/>
      <c r="D1327" s="3"/>
    </row>
    <row r="1328" spans="2:4" ht="13" x14ac:dyDescent="0.15">
      <c r="B1328" s="3"/>
      <c r="C1328" s="3"/>
      <c r="D1328" s="3"/>
    </row>
    <row r="1329" spans="2:4" ht="13" x14ac:dyDescent="0.15">
      <c r="B1329" s="3"/>
      <c r="C1329" s="3"/>
      <c r="D1329" s="3"/>
    </row>
    <row r="1330" spans="2:4" ht="13" x14ac:dyDescent="0.15">
      <c r="B1330" s="3"/>
      <c r="C1330" s="3"/>
      <c r="D1330" s="3"/>
    </row>
    <row r="1331" spans="2:4" ht="13" x14ac:dyDescent="0.15">
      <c r="B1331" s="3"/>
      <c r="C1331" s="3"/>
      <c r="D1331" s="3"/>
    </row>
    <row r="1332" spans="2:4" ht="13" x14ac:dyDescent="0.15">
      <c r="B1332" s="3"/>
      <c r="C1332" s="3"/>
      <c r="D1332" s="3"/>
    </row>
    <row r="1333" spans="2:4" ht="13" x14ac:dyDescent="0.15">
      <c r="B1333" s="3"/>
      <c r="C1333" s="3"/>
      <c r="D1333" s="3"/>
    </row>
    <row r="1334" spans="2:4" ht="13" x14ac:dyDescent="0.15">
      <c r="B1334" s="3"/>
      <c r="C1334" s="3"/>
      <c r="D1334" s="3"/>
    </row>
    <row r="1335" spans="2:4" ht="13" x14ac:dyDescent="0.15">
      <c r="B1335" s="3"/>
      <c r="C1335" s="3"/>
      <c r="D1335" s="3"/>
    </row>
    <row r="1336" spans="2:4" ht="13" x14ac:dyDescent="0.15">
      <c r="B1336" s="3"/>
      <c r="C1336" s="3"/>
      <c r="D1336" s="3"/>
    </row>
    <row r="1337" spans="2:4" ht="13" x14ac:dyDescent="0.15">
      <c r="B1337" s="3"/>
      <c r="C1337" s="3"/>
      <c r="D1337" s="3"/>
    </row>
    <row r="1338" spans="2:4" ht="13" x14ac:dyDescent="0.15">
      <c r="B1338" s="3"/>
      <c r="C1338" s="3"/>
      <c r="D1338" s="3"/>
    </row>
    <row r="1339" spans="2:4" ht="13" x14ac:dyDescent="0.15">
      <c r="B1339" s="3"/>
      <c r="C1339" s="3"/>
      <c r="D1339" s="3"/>
    </row>
    <row r="1340" spans="2:4" ht="13" x14ac:dyDescent="0.15">
      <c r="B1340" s="3"/>
      <c r="C1340" s="3"/>
      <c r="D1340" s="3"/>
    </row>
    <row r="1341" spans="2:4" ht="13" x14ac:dyDescent="0.15">
      <c r="B1341" s="3"/>
      <c r="C1341" s="3"/>
      <c r="D1341" s="3"/>
    </row>
    <row r="1342" spans="2:4" ht="13" x14ac:dyDescent="0.15">
      <c r="B1342" s="3"/>
      <c r="C1342" s="3"/>
      <c r="D1342" s="3"/>
    </row>
    <row r="1343" spans="2:4" ht="13" x14ac:dyDescent="0.15">
      <c r="B1343" s="3"/>
      <c r="C1343" s="3"/>
      <c r="D1343" s="3"/>
    </row>
    <row r="1344" spans="2:4" ht="13" x14ac:dyDescent="0.15">
      <c r="B1344" s="3"/>
      <c r="C1344" s="3"/>
      <c r="D1344" s="3"/>
    </row>
    <row r="1345" spans="2:4" ht="13" x14ac:dyDescent="0.15">
      <c r="B1345" s="3"/>
      <c r="C1345" s="3"/>
      <c r="D1345" s="3"/>
    </row>
    <row r="1346" spans="2:4" ht="13" x14ac:dyDescent="0.15">
      <c r="B1346" s="3"/>
      <c r="C1346" s="3"/>
      <c r="D1346" s="3"/>
    </row>
    <row r="1347" spans="2:4" ht="13" x14ac:dyDescent="0.15">
      <c r="B1347" s="3"/>
      <c r="C1347" s="3"/>
      <c r="D1347" s="3"/>
    </row>
    <row r="1348" spans="2:4" ht="13" x14ac:dyDescent="0.15">
      <c r="B1348" s="3"/>
      <c r="C1348" s="3"/>
      <c r="D1348" s="3"/>
    </row>
    <row r="1349" spans="2:4" ht="13" x14ac:dyDescent="0.15">
      <c r="B1349" s="3"/>
      <c r="C1349" s="3"/>
      <c r="D1349" s="3"/>
    </row>
    <row r="1350" spans="2:4" ht="13" x14ac:dyDescent="0.15">
      <c r="B1350" s="3"/>
      <c r="C1350" s="3"/>
      <c r="D1350" s="3"/>
    </row>
    <row r="1351" spans="2:4" ht="13" x14ac:dyDescent="0.15">
      <c r="B1351" s="3"/>
      <c r="C1351" s="3"/>
      <c r="D1351" s="3"/>
    </row>
    <row r="1352" spans="2:4" ht="13" x14ac:dyDescent="0.15">
      <c r="B1352" s="3"/>
      <c r="C1352" s="3"/>
      <c r="D1352" s="3"/>
    </row>
    <row r="1353" spans="2:4" ht="13" x14ac:dyDescent="0.15">
      <c r="B1353" s="3"/>
      <c r="C1353" s="3"/>
      <c r="D1353" s="3"/>
    </row>
    <row r="1354" spans="2:4" ht="13" x14ac:dyDescent="0.15">
      <c r="B1354" s="3"/>
      <c r="C1354" s="3"/>
      <c r="D1354" s="3"/>
    </row>
    <row r="1355" spans="2:4" ht="13" x14ac:dyDescent="0.15">
      <c r="B1355" s="3"/>
      <c r="C1355" s="3"/>
      <c r="D1355" s="3"/>
    </row>
    <row r="1356" spans="2:4" ht="13" x14ac:dyDescent="0.15">
      <c r="B1356" s="3"/>
      <c r="C1356" s="3"/>
      <c r="D1356" s="3"/>
    </row>
    <row r="1357" spans="2:4" ht="13" x14ac:dyDescent="0.15">
      <c r="B1357" s="3"/>
      <c r="C1357" s="3"/>
      <c r="D1357" s="3"/>
    </row>
    <row r="1358" spans="2:4" ht="13" x14ac:dyDescent="0.15">
      <c r="B1358" s="3"/>
      <c r="C1358" s="3"/>
      <c r="D1358" s="3"/>
    </row>
    <row r="1359" spans="2:4" ht="13" x14ac:dyDescent="0.15">
      <c r="B1359" s="3"/>
      <c r="C1359" s="3"/>
      <c r="D1359" s="3"/>
    </row>
    <row r="1360" spans="2:4" ht="13" x14ac:dyDescent="0.15">
      <c r="B1360" s="3"/>
      <c r="C1360" s="3"/>
      <c r="D1360" s="3"/>
    </row>
    <row r="1361" spans="2:4" ht="13" x14ac:dyDescent="0.15">
      <c r="B1361" s="3"/>
      <c r="C1361" s="3"/>
      <c r="D1361" s="3"/>
    </row>
    <row r="1362" spans="2:4" ht="13" x14ac:dyDescent="0.15">
      <c r="B1362" s="3"/>
      <c r="C1362" s="3"/>
      <c r="D1362" s="3"/>
    </row>
    <row r="1363" spans="2:4" ht="13" x14ac:dyDescent="0.15">
      <c r="B1363" s="3"/>
      <c r="C1363" s="3"/>
      <c r="D1363" s="3"/>
    </row>
    <row r="1364" spans="2:4" ht="13" x14ac:dyDescent="0.15">
      <c r="B1364" s="3"/>
      <c r="C1364" s="3"/>
      <c r="D1364" s="3"/>
    </row>
    <row r="1365" spans="2:4" ht="13" x14ac:dyDescent="0.15">
      <c r="B1365" s="3"/>
      <c r="C1365" s="3"/>
      <c r="D1365" s="3"/>
    </row>
    <row r="1366" spans="2:4" ht="13" x14ac:dyDescent="0.15">
      <c r="B1366" s="3"/>
      <c r="C1366" s="3"/>
      <c r="D1366" s="3"/>
    </row>
    <row r="1367" spans="2:4" ht="13" x14ac:dyDescent="0.15">
      <c r="B1367" s="3"/>
      <c r="C1367" s="3"/>
      <c r="D1367" s="3"/>
    </row>
    <row r="1368" spans="2:4" ht="13" x14ac:dyDescent="0.15">
      <c r="B1368" s="3"/>
      <c r="C1368" s="3"/>
      <c r="D1368" s="3"/>
    </row>
    <row r="1369" spans="2:4" ht="13" x14ac:dyDescent="0.15">
      <c r="B1369" s="3"/>
      <c r="C1369" s="3"/>
      <c r="D1369" s="3"/>
    </row>
    <row r="1370" spans="2:4" ht="13" x14ac:dyDescent="0.15">
      <c r="B1370" s="3"/>
      <c r="C1370" s="3"/>
      <c r="D1370" s="3"/>
    </row>
    <row r="1371" spans="2:4" ht="13" x14ac:dyDescent="0.15">
      <c r="B1371" s="3"/>
      <c r="C1371" s="3"/>
      <c r="D1371" s="3"/>
    </row>
    <row r="1372" spans="2:4" ht="13" x14ac:dyDescent="0.15">
      <c r="B1372" s="3"/>
      <c r="C1372" s="3"/>
      <c r="D1372" s="3"/>
    </row>
    <row r="1373" spans="2:4" ht="13" x14ac:dyDescent="0.15">
      <c r="B1373" s="3"/>
      <c r="C1373" s="3"/>
      <c r="D1373" s="3"/>
    </row>
    <row r="1374" spans="2:4" ht="13" x14ac:dyDescent="0.15">
      <c r="B1374" s="3"/>
      <c r="C1374" s="3"/>
      <c r="D1374" s="3"/>
    </row>
    <row r="1375" spans="2:4" ht="13" x14ac:dyDescent="0.15">
      <c r="B1375" s="3"/>
      <c r="C1375" s="3"/>
      <c r="D1375" s="3"/>
    </row>
    <row r="1376" spans="2:4" ht="13" x14ac:dyDescent="0.15">
      <c r="B1376" s="3"/>
      <c r="C1376" s="3"/>
      <c r="D1376" s="3"/>
    </row>
    <row r="1377" spans="2:4" ht="13" x14ac:dyDescent="0.15">
      <c r="B1377" s="3"/>
      <c r="C1377" s="3"/>
      <c r="D1377" s="3"/>
    </row>
    <row r="1378" spans="2:4" ht="13" x14ac:dyDescent="0.15">
      <c r="B1378" s="3"/>
      <c r="C1378" s="3"/>
      <c r="D1378" s="3"/>
    </row>
    <row r="1379" spans="2:4" ht="13" x14ac:dyDescent="0.15">
      <c r="B1379" s="3"/>
      <c r="C1379" s="3"/>
      <c r="D1379" s="3"/>
    </row>
    <row r="1380" spans="2:4" ht="13" x14ac:dyDescent="0.15">
      <c r="B1380" s="3"/>
      <c r="C1380" s="3"/>
      <c r="D1380" s="3"/>
    </row>
    <row r="1381" spans="2:4" ht="13" x14ac:dyDescent="0.15">
      <c r="B1381" s="3"/>
      <c r="C1381" s="3"/>
      <c r="D1381" s="3"/>
    </row>
    <row r="1382" spans="2:4" ht="13" x14ac:dyDescent="0.15">
      <c r="B1382" s="3"/>
      <c r="C1382" s="3"/>
      <c r="D1382" s="3"/>
    </row>
    <row r="1383" spans="2:4" ht="13" x14ac:dyDescent="0.15">
      <c r="B1383" s="3"/>
      <c r="C1383" s="3"/>
      <c r="D1383" s="3"/>
    </row>
    <row r="1384" spans="2:4" ht="13" x14ac:dyDescent="0.15">
      <c r="B1384" s="3"/>
      <c r="C1384" s="3"/>
      <c r="D1384" s="3"/>
    </row>
    <row r="1385" spans="2:4" ht="13" x14ac:dyDescent="0.15">
      <c r="B1385" s="3"/>
      <c r="C1385" s="3"/>
      <c r="D1385" s="3"/>
    </row>
    <row r="1386" spans="2:4" ht="13" x14ac:dyDescent="0.15">
      <c r="B1386" s="3"/>
      <c r="C1386" s="3"/>
      <c r="D1386" s="3"/>
    </row>
    <row r="1387" spans="2:4" ht="13" x14ac:dyDescent="0.15">
      <c r="B1387" s="3"/>
      <c r="C1387" s="3"/>
      <c r="D1387" s="3"/>
    </row>
    <row r="1388" spans="2:4" ht="13" x14ac:dyDescent="0.15">
      <c r="B1388" s="3"/>
      <c r="C1388" s="3"/>
      <c r="D1388" s="3"/>
    </row>
    <row r="1389" spans="2:4" ht="13" x14ac:dyDescent="0.15">
      <c r="B1389" s="3"/>
      <c r="C1389" s="3"/>
      <c r="D1389" s="3"/>
    </row>
    <row r="1390" spans="2:4" ht="13" x14ac:dyDescent="0.15">
      <c r="B1390" s="3"/>
      <c r="C1390" s="3"/>
      <c r="D1390" s="3"/>
    </row>
    <row r="1391" spans="2:4" ht="13" x14ac:dyDescent="0.15">
      <c r="B1391" s="3"/>
      <c r="C1391" s="3"/>
      <c r="D1391" s="3"/>
    </row>
    <row r="1392" spans="2:4" ht="13" x14ac:dyDescent="0.15">
      <c r="B1392" s="3"/>
      <c r="C1392" s="3"/>
      <c r="D1392" s="3"/>
    </row>
    <row r="1393" spans="2:4" ht="13" x14ac:dyDescent="0.15">
      <c r="B1393" s="3"/>
      <c r="C1393" s="3"/>
      <c r="D1393" s="3"/>
    </row>
    <row r="1394" spans="2:4" ht="13" x14ac:dyDescent="0.15">
      <c r="B1394" s="3"/>
      <c r="C1394" s="3"/>
      <c r="D1394" s="3"/>
    </row>
    <row r="1395" spans="2:4" ht="13" x14ac:dyDescent="0.15">
      <c r="B1395" s="3"/>
      <c r="C1395" s="3"/>
      <c r="D1395" s="3"/>
    </row>
    <row r="1396" spans="2:4" ht="13" x14ac:dyDescent="0.15">
      <c r="B1396" s="3"/>
      <c r="C1396" s="3"/>
      <c r="D1396" s="3"/>
    </row>
    <row r="1397" spans="2:4" ht="13" x14ac:dyDescent="0.15">
      <c r="B1397" s="3"/>
      <c r="C1397" s="3"/>
      <c r="D1397" s="3"/>
    </row>
    <row r="1398" spans="2:4" ht="13" x14ac:dyDescent="0.15">
      <c r="B1398" s="3"/>
      <c r="C1398" s="3"/>
      <c r="D1398" s="3"/>
    </row>
    <row r="1399" spans="2:4" ht="13" x14ac:dyDescent="0.15">
      <c r="B1399" s="3"/>
      <c r="C1399" s="3"/>
      <c r="D1399" s="3"/>
    </row>
    <row r="1400" spans="2:4" ht="13" x14ac:dyDescent="0.15">
      <c r="B1400" s="3"/>
      <c r="C1400" s="3"/>
      <c r="D1400" s="3"/>
    </row>
    <row r="1401" spans="2:4" ht="13" x14ac:dyDescent="0.15">
      <c r="B1401" s="3"/>
      <c r="C1401" s="3"/>
      <c r="D1401" s="3"/>
    </row>
    <row r="1402" spans="2:4" ht="13" x14ac:dyDescent="0.15">
      <c r="B1402" s="3"/>
      <c r="C1402" s="3"/>
      <c r="D1402" s="3"/>
    </row>
    <row r="1403" spans="2:4" ht="13" x14ac:dyDescent="0.15">
      <c r="B1403" s="3"/>
      <c r="C1403" s="3"/>
      <c r="D1403" s="3"/>
    </row>
    <row r="1404" spans="2:4" ht="13" x14ac:dyDescent="0.15">
      <c r="B1404" s="3"/>
      <c r="C1404" s="3"/>
      <c r="D1404" s="3"/>
    </row>
    <row r="1405" spans="2:4" ht="13" x14ac:dyDescent="0.15">
      <c r="B1405" s="3"/>
      <c r="C1405" s="3"/>
      <c r="D1405" s="3"/>
    </row>
    <row r="1406" spans="2:4" ht="13" x14ac:dyDescent="0.15">
      <c r="B1406" s="3"/>
      <c r="C1406" s="3"/>
      <c r="D1406" s="3"/>
    </row>
    <row r="1407" spans="2:4" ht="13" x14ac:dyDescent="0.15">
      <c r="B1407" s="3"/>
      <c r="C1407" s="3"/>
      <c r="D1407" s="3"/>
    </row>
    <row r="1408" spans="2:4" ht="13" x14ac:dyDescent="0.15">
      <c r="B1408" s="3"/>
      <c r="C1408" s="3"/>
      <c r="D1408" s="3"/>
    </row>
    <row r="1409" spans="2:4" ht="13" x14ac:dyDescent="0.15">
      <c r="B1409" s="3"/>
      <c r="C1409" s="3"/>
      <c r="D1409" s="3"/>
    </row>
    <row r="1410" spans="2:4" ht="13" x14ac:dyDescent="0.15">
      <c r="B1410" s="3"/>
      <c r="C1410" s="3"/>
      <c r="D1410" s="3"/>
    </row>
    <row r="1411" spans="2:4" ht="13" x14ac:dyDescent="0.15">
      <c r="B1411" s="3"/>
      <c r="C1411" s="3"/>
      <c r="D1411" s="3"/>
    </row>
    <row r="1412" spans="2:4" ht="13" x14ac:dyDescent="0.15">
      <c r="B1412" s="3"/>
      <c r="C1412" s="3"/>
      <c r="D1412" s="3"/>
    </row>
    <row r="1413" spans="2:4" ht="13" x14ac:dyDescent="0.15">
      <c r="B1413" s="3"/>
      <c r="C1413" s="3"/>
      <c r="D1413" s="3"/>
    </row>
    <row r="1414" spans="2:4" ht="13" x14ac:dyDescent="0.15">
      <c r="B1414" s="3"/>
      <c r="C1414" s="3"/>
      <c r="D1414" s="3"/>
    </row>
    <row r="1415" spans="2:4" ht="13" x14ac:dyDescent="0.15">
      <c r="B1415" s="3"/>
      <c r="C1415" s="3"/>
      <c r="D1415" s="3"/>
    </row>
    <row r="1416" spans="2:4" ht="13" x14ac:dyDescent="0.15">
      <c r="B1416" s="3"/>
      <c r="C1416" s="3"/>
      <c r="D1416" s="3"/>
    </row>
    <row r="1417" spans="2:4" ht="13" x14ac:dyDescent="0.15">
      <c r="B1417" s="3"/>
      <c r="C1417" s="3"/>
      <c r="D1417" s="3"/>
    </row>
    <row r="1418" spans="2:4" ht="13" x14ac:dyDescent="0.15">
      <c r="B1418" s="3"/>
      <c r="C1418" s="3"/>
      <c r="D1418" s="3"/>
    </row>
    <row r="1419" spans="2:4" ht="13" x14ac:dyDescent="0.15">
      <c r="B1419" s="3"/>
      <c r="C1419" s="3"/>
      <c r="D1419" s="3"/>
    </row>
    <row r="1420" spans="2:4" ht="13" x14ac:dyDescent="0.15">
      <c r="B1420" s="3"/>
      <c r="C1420" s="3"/>
      <c r="D1420" s="3"/>
    </row>
    <row r="1421" spans="2:4" ht="13" x14ac:dyDescent="0.15">
      <c r="B1421" s="3"/>
      <c r="C1421" s="3"/>
      <c r="D1421" s="3"/>
    </row>
    <row r="1422" spans="2:4" ht="13" x14ac:dyDescent="0.15">
      <c r="B1422" s="3"/>
      <c r="C1422" s="3"/>
      <c r="D1422" s="3"/>
    </row>
    <row r="1423" spans="2:4" ht="13" x14ac:dyDescent="0.15">
      <c r="B1423" s="3"/>
      <c r="C1423" s="3"/>
      <c r="D1423" s="3"/>
    </row>
    <row r="1424" spans="2:4" ht="13" x14ac:dyDescent="0.15">
      <c r="B1424" s="3"/>
      <c r="C1424" s="3"/>
      <c r="D1424" s="3"/>
    </row>
    <row r="1425" spans="2:4" ht="13" x14ac:dyDescent="0.15">
      <c r="B1425" s="3"/>
      <c r="C1425" s="3"/>
      <c r="D1425" s="3"/>
    </row>
    <row r="1426" spans="2:4" ht="13" x14ac:dyDescent="0.15">
      <c r="B1426" s="3"/>
      <c r="C1426" s="3"/>
      <c r="D1426" s="3"/>
    </row>
    <row r="1427" spans="2:4" ht="13" x14ac:dyDescent="0.15">
      <c r="B1427" s="3"/>
      <c r="C1427" s="3"/>
      <c r="D1427" s="3"/>
    </row>
    <row r="1428" spans="2:4" ht="13" x14ac:dyDescent="0.15">
      <c r="B1428" s="3"/>
      <c r="C1428" s="3"/>
      <c r="D1428" s="3"/>
    </row>
    <row r="1429" spans="2:4" ht="13" x14ac:dyDescent="0.15">
      <c r="B1429" s="3"/>
      <c r="C1429" s="3"/>
      <c r="D1429" s="3"/>
    </row>
    <row r="1430" spans="2:4" ht="13" x14ac:dyDescent="0.15">
      <c r="B1430" s="3"/>
      <c r="C1430" s="3"/>
      <c r="D1430" s="3"/>
    </row>
    <row r="1431" spans="2:4" ht="13" x14ac:dyDescent="0.15">
      <c r="B1431" s="3"/>
      <c r="C1431" s="3"/>
      <c r="D1431" s="3"/>
    </row>
    <row r="1432" spans="2:4" ht="13" x14ac:dyDescent="0.15">
      <c r="B1432" s="3"/>
      <c r="C1432" s="3"/>
      <c r="D1432" s="3"/>
    </row>
    <row r="1433" spans="2:4" ht="13" x14ac:dyDescent="0.15">
      <c r="B1433" s="3"/>
      <c r="C1433" s="3"/>
      <c r="D1433" s="3"/>
    </row>
    <row r="1434" spans="2:4" ht="13" x14ac:dyDescent="0.15">
      <c r="B1434" s="3"/>
      <c r="C1434" s="3"/>
      <c r="D1434" s="3"/>
    </row>
    <row r="1435" spans="2:4" ht="13" x14ac:dyDescent="0.15">
      <c r="B1435" s="3"/>
      <c r="C1435" s="3"/>
      <c r="D1435" s="3"/>
    </row>
    <row r="1436" spans="2:4" ht="13" x14ac:dyDescent="0.15">
      <c r="B1436" s="3"/>
      <c r="C1436" s="3"/>
      <c r="D1436" s="3"/>
    </row>
    <row r="1437" spans="2:4" ht="13" x14ac:dyDescent="0.15">
      <c r="B1437" s="3"/>
      <c r="C1437" s="3"/>
      <c r="D1437" s="3"/>
    </row>
    <row r="1438" spans="2:4" ht="13" x14ac:dyDescent="0.15">
      <c r="B1438" s="3"/>
      <c r="C1438" s="3"/>
      <c r="D1438" s="3"/>
    </row>
    <row r="1439" spans="2:4" ht="13" x14ac:dyDescent="0.15">
      <c r="B1439" s="3"/>
      <c r="C1439" s="3"/>
      <c r="D1439" s="3"/>
    </row>
    <row r="1440" spans="2:4" ht="13" x14ac:dyDescent="0.15">
      <c r="B1440" s="3"/>
      <c r="C1440" s="3"/>
      <c r="D1440" s="3"/>
    </row>
    <row r="1441" spans="2:4" ht="13" x14ac:dyDescent="0.15">
      <c r="B1441" s="3"/>
      <c r="C1441" s="3"/>
      <c r="D1441" s="3"/>
    </row>
    <row r="1442" spans="2:4" ht="13" x14ac:dyDescent="0.15">
      <c r="B1442" s="3"/>
      <c r="C1442" s="3"/>
      <c r="D1442" s="3"/>
    </row>
    <row r="1443" spans="2:4" ht="13" x14ac:dyDescent="0.15">
      <c r="B1443" s="3"/>
      <c r="C1443" s="3"/>
      <c r="D1443" s="3"/>
    </row>
    <row r="1444" spans="2:4" ht="13" x14ac:dyDescent="0.15">
      <c r="B1444" s="3"/>
      <c r="C1444" s="3"/>
      <c r="D1444" s="3"/>
    </row>
    <row r="1445" spans="2:4" ht="13" x14ac:dyDescent="0.15">
      <c r="B1445" s="3"/>
      <c r="C1445" s="3"/>
      <c r="D1445" s="3"/>
    </row>
    <row r="1446" spans="2:4" ht="13" x14ac:dyDescent="0.15">
      <c r="B1446" s="3"/>
      <c r="C1446" s="3"/>
      <c r="D1446" s="3"/>
    </row>
    <row r="1447" spans="2:4" ht="13" x14ac:dyDescent="0.15">
      <c r="B1447" s="3"/>
      <c r="C1447" s="3"/>
      <c r="D1447" s="3"/>
    </row>
    <row r="1448" spans="2:4" ht="13" x14ac:dyDescent="0.15">
      <c r="B1448" s="3"/>
      <c r="C1448" s="3"/>
      <c r="D1448" s="3"/>
    </row>
    <row r="1449" spans="2:4" ht="13" x14ac:dyDescent="0.15">
      <c r="B1449" s="3"/>
      <c r="C1449" s="3"/>
      <c r="D1449" s="3"/>
    </row>
    <row r="1450" spans="2:4" ht="13" x14ac:dyDescent="0.15">
      <c r="B1450" s="3"/>
      <c r="C1450" s="3"/>
      <c r="D1450" s="3"/>
    </row>
    <row r="1451" spans="2:4" ht="13" x14ac:dyDescent="0.15">
      <c r="B1451" s="3"/>
      <c r="C1451" s="3"/>
      <c r="D1451" s="3"/>
    </row>
    <row r="1452" spans="2:4" ht="13" x14ac:dyDescent="0.15">
      <c r="B1452" s="3"/>
      <c r="C1452" s="3"/>
      <c r="D1452" s="3"/>
    </row>
    <row r="1453" spans="2:4" ht="13" x14ac:dyDescent="0.15">
      <c r="B1453" s="3"/>
      <c r="C1453" s="3"/>
      <c r="D1453" s="3"/>
    </row>
    <row r="1454" spans="2:4" ht="13" x14ac:dyDescent="0.15">
      <c r="B1454" s="3"/>
      <c r="C1454" s="3"/>
      <c r="D1454" s="3"/>
    </row>
    <row r="1455" spans="2:4" ht="13" x14ac:dyDescent="0.15">
      <c r="B1455" s="3"/>
      <c r="C1455" s="3"/>
      <c r="D1455" s="3"/>
    </row>
    <row r="1456" spans="2:4" ht="13" x14ac:dyDescent="0.15">
      <c r="B1456" s="3"/>
      <c r="C1456" s="3"/>
      <c r="D1456" s="3"/>
    </row>
    <row r="1457" spans="2:4" ht="13" x14ac:dyDescent="0.15">
      <c r="B1457" s="3"/>
      <c r="C1457" s="3"/>
      <c r="D1457" s="3"/>
    </row>
    <row r="1458" spans="2:4" ht="13" x14ac:dyDescent="0.15">
      <c r="B1458" s="3"/>
      <c r="C1458" s="3"/>
      <c r="D1458" s="3"/>
    </row>
    <row r="1459" spans="2:4" ht="13" x14ac:dyDescent="0.15">
      <c r="B1459" s="3"/>
      <c r="C1459" s="3"/>
      <c r="D1459" s="3"/>
    </row>
    <row r="1460" spans="2:4" ht="13" x14ac:dyDescent="0.15">
      <c r="B1460" s="3"/>
      <c r="C1460" s="3"/>
      <c r="D1460" s="3"/>
    </row>
    <row r="1461" spans="2:4" ht="13" x14ac:dyDescent="0.15">
      <c r="B1461" s="3"/>
      <c r="C1461" s="3"/>
      <c r="D1461" s="3"/>
    </row>
    <row r="1462" spans="2:4" ht="13" x14ac:dyDescent="0.15">
      <c r="B1462" s="3"/>
      <c r="C1462" s="3"/>
      <c r="D1462" s="3"/>
    </row>
    <row r="1463" spans="2:4" ht="13" x14ac:dyDescent="0.15">
      <c r="B1463" s="3"/>
      <c r="C1463" s="3"/>
      <c r="D1463" s="3"/>
    </row>
    <row r="1464" spans="2:4" ht="13" x14ac:dyDescent="0.15">
      <c r="B1464" s="3"/>
      <c r="C1464" s="3"/>
      <c r="D1464" s="3"/>
    </row>
    <row r="1465" spans="2:4" ht="13" x14ac:dyDescent="0.15">
      <c r="B1465" s="3"/>
      <c r="C1465" s="3"/>
      <c r="D1465" s="3"/>
    </row>
    <row r="1466" spans="2:4" ht="13" x14ac:dyDescent="0.15">
      <c r="B1466" s="3"/>
      <c r="C1466" s="3"/>
      <c r="D1466" s="3"/>
    </row>
    <row r="1467" spans="2:4" ht="13" x14ac:dyDescent="0.15">
      <c r="B1467" s="3"/>
      <c r="C1467" s="3"/>
      <c r="D1467" s="3"/>
    </row>
    <row r="1468" spans="2:4" ht="13" x14ac:dyDescent="0.15">
      <c r="B1468" s="3"/>
      <c r="C1468" s="3"/>
      <c r="D1468" s="3"/>
    </row>
    <row r="1469" spans="2:4" ht="13" x14ac:dyDescent="0.15">
      <c r="B1469" s="3"/>
      <c r="C1469" s="3"/>
      <c r="D1469" s="3"/>
    </row>
    <row r="1470" spans="2:4" ht="13" x14ac:dyDescent="0.15">
      <c r="B1470" s="3"/>
      <c r="C1470" s="3"/>
      <c r="D1470" s="3"/>
    </row>
    <row r="1471" spans="2:4" ht="13" x14ac:dyDescent="0.15">
      <c r="B1471" s="3"/>
      <c r="C1471" s="3"/>
      <c r="D1471" s="3"/>
    </row>
    <row r="1472" spans="2:4" ht="13" x14ac:dyDescent="0.15">
      <c r="B1472" s="3"/>
      <c r="C1472" s="3"/>
      <c r="D1472" s="3"/>
    </row>
    <row r="1473" spans="2:4" ht="13" x14ac:dyDescent="0.15">
      <c r="B1473" s="3"/>
      <c r="C1473" s="3"/>
      <c r="D1473" s="3"/>
    </row>
    <row r="1474" spans="2:4" ht="13" x14ac:dyDescent="0.15">
      <c r="B1474" s="3"/>
      <c r="C1474" s="3"/>
      <c r="D1474" s="3"/>
    </row>
    <row r="1475" spans="2:4" ht="13" x14ac:dyDescent="0.15">
      <c r="B1475" s="3"/>
      <c r="C1475" s="3"/>
      <c r="D1475" s="3"/>
    </row>
    <row r="1476" spans="2:4" ht="13" x14ac:dyDescent="0.15">
      <c r="B1476" s="3"/>
      <c r="C1476" s="3"/>
      <c r="D1476" s="3"/>
    </row>
    <row r="1477" spans="2:4" ht="13" x14ac:dyDescent="0.15">
      <c r="B1477" s="3"/>
      <c r="C1477" s="3"/>
      <c r="D1477" s="3"/>
    </row>
    <row r="1478" spans="2:4" ht="13" x14ac:dyDescent="0.15">
      <c r="B1478" s="3"/>
      <c r="C1478" s="3"/>
      <c r="D1478" s="3"/>
    </row>
    <row r="1479" spans="2:4" ht="13" x14ac:dyDescent="0.15">
      <c r="B1479" s="3"/>
      <c r="C1479" s="3"/>
      <c r="D1479" s="3"/>
    </row>
    <row r="1480" spans="2:4" ht="13" x14ac:dyDescent="0.15">
      <c r="B1480" s="3"/>
      <c r="C1480" s="3"/>
      <c r="D1480" s="3"/>
    </row>
    <row r="1481" spans="2:4" ht="13" x14ac:dyDescent="0.15">
      <c r="B1481" s="3"/>
      <c r="C1481" s="3"/>
      <c r="D1481" s="3"/>
    </row>
    <row r="1482" spans="2:4" ht="13" x14ac:dyDescent="0.15">
      <c r="B1482" s="3"/>
      <c r="C1482" s="3"/>
      <c r="D1482" s="3"/>
    </row>
    <row r="1483" spans="2:4" ht="13" x14ac:dyDescent="0.15">
      <c r="B1483" s="3"/>
      <c r="C1483" s="3"/>
      <c r="D1483" s="3"/>
    </row>
    <row r="1484" spans="2:4" ht="13" x14ac:dyDescent="0.15">
      <c r="B1484" s="3"/>
      <c r="C1484" s="3"/>
      <c r="D1484" s="3"/>
    </row>
    <row r="1485" spans="2:4" ht="13" x14ac:dyDescent="0.15">
      <c r="B1485" s="3"/>
      <c r="C1485" s="3"/>
      <c r="D1485" s="3"/>
    </row>
    <row r="1486" spans="2:4" ht="13" x14ac:dyDescent="0.15">
      <c r="B1486" s="3"/>
      <c r="C1486" s="3"/>
      <c r="D1486" s="3"/>
    </row>
    <row r="1487" spans="2:4" ht="13" x14ac:dyDescent="0.15">
      <c r="B1487" s="3"/>
      <c r="C1487" s="3"/>
      <c r="D1487" s="3"/>
    </row>
    <row r="1488" spans="2:4" ht="13" x14ac:dyDescent="0.15">
      <c r="B1488" s="3"/>
      <c r="C1488" s="3"/>
      <c r="D1488" s="3"/>
    </row>
    <row r="1489" spans="2:4" ht="13" x14ac:dyDescent="0.15">
      <c r="B1489" s="3"/>
      <c r="C1489" s="3"/>
      <c r="D1489" s="3"/>
    </row>
    <row r="1490" spans="2:4" ht="13" x14ac:dyDescent="0.15">
      <c r="B1490" s="3"/>
      <c r="C1490" s="3"/>
      <c r="D1490" s="3"/>
    </row>
    <row r="1491" spans="2:4" ht="13" x14ac:dyDescent="0.15">
      <c r="B1491" s="3"/>
      <c r="C1491" s="3"/>
      <c r="D1491" s="3"/>
    </row>
    <row r="1492" spans="2:4" ht="13" x14ac:dyDescent="0.15">
      <c r="B1492" s="3"/>
      <c r="C1492" s="3"/>
      <c r="D1492" s="3"/>
    </row>
    <row r="1493" spans="2:4" ht="13" x14ac:dyDescent="0.15">
      <c r="B1493" s="3"/>
      <c r="C1493" s="3"/>
      <c r="D1493" s="3"/>
    </row>
    <row r="1494" spans="2:4" ht="13" x14ac:dyDescent="0.15">
      <c r="B1494" s="3"/>
      <c r="C1494" s="3"/>
      <c r="D1494" s="3"/>
    </row>
    <row r="1495" spans="2:4" ht="13" x14ac:dyDescent="0.15">
      <c r="B1495" s="3"/>
      <c r="C1495" s="3"/>
      <c r="D1495" s="3"/>
    </row>
    <row r="1496" spans="2:4" ht="13" x14ac:dyDescent="0.15">
      <c r="B1496" s="3"/>
      <c r="C1496" s="3"/>
      <c r="D1496" s="3"/>
    </row>
    <row r="1497" spans="2:4" ht="13" x14ac:dyDescent="0.15">
      <c r="B1497" s="3"/>
      <c r="C1497" s="3"/>
      <c r="D1497" s="3"/>
    </row>
    <row r="1498" spans="2:4" ht="13" x14ac:dyDescent="0.15">
      <c r="B1498" s="3"/>
      <c r="C1498" s="3"/>
      <c r="D1498" s="3"/>
    </row>
    <row r="1499" spans="2:4" ht="13" x14ac:dyDescent="0.15">
      <c r="B1499" s="3"/>
      <c r="C1499" s="3"/>
      <c r="D1499" s="3"/>
    </row>
    <row r="1500" spans="2:4" ht="13" x14ac:dyDescent="0.15">
      <c r="B1500" s="3"/>
      <c r="C1500" s="3"/>
      <c r="D1500" s="3"/>
    </row>
    <row r="1501" spans="2:4" ht="13" x14ac:dyDescent="0.15">
      <c r="B1501" s="3"/>
      <c r="C1501" s="3"/>
      <c r="D1501" s="3"/>
    </row>
    <row r="1502" spans="2:4" ht="13" x14ac:dyDescent="0.15">
      <c r="B1502" s="3"/>
      <c r="C1502" s="3"/>
      <c r="D1502" s="3"/>
    </row>
    <row r="1503" spans="2:4" ht="13" x14ac:dyDescent="0.15">
      <c r="B1503" s="3"/>
      <c r="C1503" s="3"/>
      <c r="D1503" s="3"/>
    </row>
    <row r="1504" spans="2:4" ht="13" x14ac:dyDescent="0.15">
      <c r="B1504" s="3"/>
      <c r="C1504" s="3"/>
      <c r="D1504" s="3"/>
    </row>
    <row r="1505" spans="2:4" ht="13" x14ac:dyDescent="0.15">
      <c r="B1505" s="3"/>
      <c r="C1505" s="3"/>
      <c r="D1505" s="3"/>
    </row>
    <row r="1506" spans="2:4" ht="13" x14ac:dyDescent="0.15">
      <c r="B1506" s="3"/>
      <c r="C1506" s="3"/>
      <c r="D1506" s="3"/>
    </row>
    <row r="1507" spans="2:4" ht="13" x14ac:dyDescent="0.15">
      <c r="B1507" s="3"/>
      <c r="C1507" s="3"/>
      <c r="D1507" s="3"/>
    </row>
    <row r="1508" spans="2:4" ht="13" x14ac:dyDescent="0.15">
      <c r="B1508" s="3"/>
      <c r="C1508" s="3"/>
      <c r="D1508" s="3"/>
    </row>
    <row r="1509" spans="2:4" ht="13" x14ac:dyDescent="0.15">
      <c r="B1509" s="3"/>
      <c r="C1509" s="3"/>
      <c r="D1509" s="3"/>
    </row>
    <row r="1510" spans="2:4" ht="13" x14ac:dyDescent="0.15">
      <c r="B1510" s="3"/>
      <c r="C1510" s="3"/>
      <c r="D1510" s="3"/>
    </row>
    <row r="1511" spans="2:4" ht="13" x14ac:dyDescent="0.15">
      <c r="B1511" s="3"/>
      <c r="C1511" s="3"/>
      <c r="D1511" s="3"/>
    </row>
    <row r="1512" spans="2:4" ht="13" x14ac:dyDescent="0.15">
      <c r="B1512" s="3"/>
      <c r="C1512" s="3"/>
      <c r="D1512" s="3"/>
    </row>
    <row r="1513" spans="2:4" ht="13" x14ac:dyDescent="0.15">
      <c r="B1513" s="3"/>
      <c r="C1513" s="3"/>
      <c r="D1513" s="3"/>
    </row>
    <row r="1514" spans="2:4" ht="13" x14ac:dyDescent="0.15">
      <c r="B1514" s="3"/>
      <c r="C1514" s="3"/>
      <c r="D1514" s="3"/>
    </row>
    <row r="1515" spans="2:4" ht="13" x14ac:dyDescent="0.15">
      <c r="B1515" s="3"/>
      <c r="C1515" s="3"/>
      <c r="D1515" s="3"/>
    </row>
    <row r="1516" spans="2:4" ht="13" x14ac:dyDescent="0.15">
      <c r="B1516" s="3"/>
      <c r="C1516" s="3"/>
      <c r="D1516" s="3"/>
    </row>
    <row r="1517" spans="2:4" ht="13" x14ac:dyDescent="0.15">
      <c r="B1517" s="3"/>
      <c r="C1517" s="3"/>
      <c r="D1517" s="3"/>
    </row>
    <row r="1518" spans="2:4" ht="13" x14ac:dyDescent="0.15">
      <c r="B1518" s="3"/>
      <c r="C1518" s="3"/>
      <c r="D1518" s="3"/>
    </row>
    <row r="1519" spans="2:4" ht="13" x14ac:dyDescent="0.15">
      <c r="B1519" s="3"/>
      <c r="C1519" s="3"/>
      <c r="D1519" s="3"/>
    </row>
    <row r="1520" spans="2:4" ht="13" x14ac:dyDescent="0.15">
      <c r="B1520" s="3"/>
      <c r="C1520" s="3"/>
      <c r="D1520" s="3"/>
    </row>
    <row r="1521" spans="2:4" ht="13" x14ac:dyDescent="0.15">
      <c r="B1521" s="3"/>
      <c r="C1521" s="3"/>
      <c r="D1521" s="3"/>
    </row>
    <row r="1522" spans="2:4" ht="13" x14ac:dyDescent="0.15">
      <c r="B1522" s="3"/>
      <c r="C1522" s="3"/>
      <c r="D1522" s="3"/>
    </row>
    <row r="1523" spans="2:4" ht="13" x14ac:dyDescent="0.15">
      <c r="B1523" s="3"/>
      <c r="C1523" s="3"/>
      <c r="D1523" s="3"/>
    </row>
    <row r="1524" spans="2:4" ht="13" x14ac:dyDescent="0.15">
      <c r="B1524" s="3"/>
      <c r="C1524" s="3"/>
      <c r="D1524" s="3"/>
    </row>
    <row r="1525" spans="2:4" ht="13" x14ac:dyDescent="0.15">
      <c r="B1525" s="3"/>
      <c r="C1525" s="3"/>
      <c r="D1525" s="3"/>
    </row>
    <row r="1526" spans="2:4" ht="13" x14ac:dyDescent="0.15">
      <c r="B1526" s="3"/>
      <c r="C1526" s="3"/>
      <c r="D1526" s="3"/>
    </row>
    <row r="1527" spans="2:4" ht="13" x14ac:dyDescent="0.15">
      <c r="B1527" s="3"/>
      <c r="C1527" s="3"/>
      <c r="D1527" s="3"/>
    </row>
    <row r="1528" spans="2:4" ht="13" x14ac:dyDescent="0.15">
      <c r="B1528" s="3"/>
      <c r="C1528" s="3"/>
      <c r="D1528" s="3"/>
    </row>
    <row r="1529" spans="2:4" ht="13" x14ac:dyDescent="0.15">
      <c r="B1529" s="3"/>
      <c r="C1529" s="3"/>
      <c r="D1529" s="3"/>
    </row>
    <row r="1530" spans="2:4" ht="13" x14ac:dyDescent="0.15">
      <c r="B1530" s="3"/>
      <c r="C1530" s="3"/>
      <c r="D1530" s="3"/>
    </row>
    <row r="1531" spans="2:4" ht="13" x14ac:dyDescent="0.15">
      <c r="B1531" s="3"/>
      <c r="C1531" s="3"/>
      <c r="D1531" s="3"/>
    </row>
    <row r="1532" spans="2:4" ht="13" x14ac:dyDescent="0.15">
      <c r="B1532" s="3"/>
      <c r="C1532" s="3"/>
      <c r="D1532" s="3"/>
    </row>
    <row r="1533" spans="2:4" ht="13" x14ac:dyDescent="0.15">
      <c r="B1533" s="3"/>
      <c r="C1533" s="3"/>
      <c r="D1533" s="3"/>
    </row>
    <row r="1534" spans="2:4" ht="13" x14ac:dyDescent="0.15">
      <c r="B1534" s="3"/>
      <c r="C1534" s="3"/>
      <c r="D1534" s="3"/>
    </row>
    <row r="1535" spans="2:4" ht="13" x14ac:dyDescent="0.15">
      <c r="B1535" s="3"/>
      <c r="C1535" s="3"/>
      <c r="D1535" s="3"/>
    </row>
    <row r="1536" spans="2:4" ht="13" x14ac:dyDescent="0.15">
      <c r="B1536" s="3"/>
      <c r="C1536" s="3"/>
      <c r="D1536" s="3"/>
    </row>
    <row r="1537" spans="2:4" ht="13" x14ac:dyDescent="0.15">
      <c r="B1537" s="3"/>
      <c r="C1537" s="3"/>
      <c r="D1537" s="3"/>
    </row>
    <row r="1538" spans="2:4" ht="13" x14ac:dyDescent="0.15">
      <c r="B1538" s="3"/>
      <c r="C1538" s="3"/>
      <c r="D1538" s="3"/>
    </row>
    <row r="1539" spans="2:4" ht="13" x14ac:dyDescent="0.15">
      <c r="B1539" s="3"/>
      <c r="C1539" s="3"/>
      <c r="D1539" s="3"/>
    </row>
    <row r="1540" spans="2:4" ht="13" x14ac:dyDescent="0.15">
      <c r="B1540" s="3"/>
      <c r="C1540" s="3"/>
      <c r="D1540" s="3"/>
    </row>
    <row r="1541" spans="2:4" ht="13" x14ac:dyDescent="0.15">
      <c r="B1541" s="3"/>
      <c r="C1541" s="3"/>
      <c r="D1541" s="3"/>
    </row>
    <row r="1542" spans="2:4" ht="13" x14ac:dyDescent="0.15">
      <c r="B1542" s="3"/>
      <c r="C1542" s="3"/>
      <c r="D1542" s="3"/>
    </row>
    <row r="1543" spans="2:4" ht="13" x14ac:dyDescent="0.15">
      <c r="B1543" s="3"/>
      <c r="C1543" s="3"/>
      <c r="D1543" s="3"/>
    </row>
    <row r="1544" spans="2:4" ht="13" x14ac:dyDescent="0.15">
      <c r="B1544" s="3"/>
      <c r="C1544" s="3"/>
      <c r="D1544" s="3"/>
    </row>
    <row r="1545" spans="2:4" ht="13" x14ac:dyDescent="0.15">
      <c r="B1545" s="3"/>
      <c r="C1545" s="3"/>
      <c r="D1545" s="3"/>
    </row>
    <row r="1546" spans="2:4" ht="13" x14ac:dyDescent="0.15">
      <c r="B1546" s="3"/>
      <c r="C1546" s="3"/>
      <c r="D1546" s="3"/>
    </row>
    <row r="1547" spans="2:4" ht="13" x14ac:dyDescent="0.15">
      <c r="B1547" s="3"/>
      <c r="C1547" s="3"/>
      <c r="D1547" s="3"/>
    </row>
    <row r="1548" spans="2:4" ht="13" x14ac:dyDescent="0.15">
      <c r="B1548" s="3"/>
      <c r="C1548" s="3"/>
      <c r="D1548" s="3"/>
    </row>
    <row r="1549" spans="2:4" ht="13" x14ac:dyDescent="0.15">
      <c r="B1549" s="3"/>
      <c r="C1549" s="3"/>
      <c r="D1549" s="3"/>
    </row>
    <row r="1550" spans="2:4" ht="13" x14ac:dyDescent="0.15">
      <c r="B1550" s="3"/>
      <c r="C1550" s="3"/>
      <c r="D1550" s="3"/>
    </row>
    <row r="1551" spans="2:4" ht="13" x14ac:dyDescent="0.15">
      <c r="B1551" s="3"/>
      <c r="C1551" s="3"/>
      <c r="D1551" s="3"/>
    </row>
    <row r="1552" spans="2:4" ht="13" x14ac:dyDescent="0.15">
      <c r="B1552" s="3"/>
      <c r="C1552" s="3"/>
      <c r="D1552" s="3"/>
    </row>
    <row r="1553" spans="2:4" ht="13" x14ac:dyDescent="0.15">
      <c r="B1553" s="3"/>
      <c r="C1553" s="3"/>
      <c r="D1553" s="3"/>
    </row>
    <row r="1554" spans="2:4" ht="13" x14ac:dyDescent="0.15">
      <c r="B1554" s="3"/>
      <c r="C1554" s="3"/>
      <c r="D1554" s="3"/>
    </row>
    <row r="1555" spans="2:4" ht="13" x14ac:dyDescent="0.15">
      <c r="B1555" s="3"/>
      <c r="C1555" s="3"/>
      <c r="D1555" s="3"/>
    </row>
    <row r="1556" spans="2:4" ht="13" x14ac:dyDescent="0.15">
      <c r="B1556" s="3"/>
      <c r="C1556" s="3"/>
      <c r="D1556" s="3"/>
    </row>
    <row r="1557" spans="2:4" ht="13" x14ac:dyDescent="0.15">
      <c r="B1557" s="3"/>
      <c r="C1557" s="3"/>
      <c r="D1557" s="3"/>
    </row>
    <row r="1558" spans="2:4" ht="13" x14ac:dyDescent="0.15">
      <c r="B1558" s="3"/>
      <c r="C1558" s="3"/>
      <c r="D1558" s="3"/>
    </row>
    <row r="1559" spans="2:4" ht="13" x14ac:dyDescent="0.15">
      <c r="B1559" s="3"/>
      <c r="C1559" s="3"/>
      <c r="D1559" s="3"/>
    </row>
    <row r="1560" spans="2:4" ht="13" x14ac:dyDescent="0.15">
      <c r="B1560" s="3"/>
      <c r="C1560" s="3"/>
      <c r="D1560" s="3"/>
    </row>
    <row r="1561" spans="2:4" ht="13" x14ac:dyDescent="0.15">
      <c r="B1561" s="3"/>
      <c r="C1561" s="3"/>
      <c r="D1561" s="3"/>
    </row>
    <row r="1562" spans="2:4" ht="13" x14ac:dyDescent="0.15">
      <c r="B1562" s="3"/>
      <c r="C1562" s="3"/>
      <c r="D1562" s="3"/>
    </row>
    <row r="1563" spans="2:4" ht="13" x14ac:dyDescent="0.15">
      <c r="B1563" s="3"/>
      <c r="C1563" s="3"/>
      <c r="D1563" s="3"/>
    </row>
    <row r="1564" spans="2:4" ht="13" x14ac:dyDescent="0.15">
      <c r="B1564" s="3"/>
      <c r="C1564" s="3"/>
      <c r="D1564" s="3"/>
    </row>
    <row r="1565" spans="2:4" ht="13" x14ac:dyDescent="0.15">
      <c r="B1565" s="3"/>
      <c r="C1565" s="3"/>
      <c r="D1565" s="3"/>
    </row>
    <row r="1566" spans="2:4" ht="13" x14ac:dyDescent="0.15">
      <c r="B1566" s="3"/>
      <c r="C1566" s="3"/>
      <c r="D1566" s="3"/>
    </row>
    <row r="1567" spans="2:4" ht="13" x14ac:dyDescent="0.15">
      <c r="B1567" s="3"/>
      <c r="C1567" s="3"/>
      <c r="D1567" s="3"/>
    </row>
    <row r="1568" spans="2:4" ht="13" x14ac:dyDescent="0.15">
      <c r="B1568" s="3"/>
      <c r="C1568" s="3"/>
      <c r="D1568" s="3"/>
    </row>
    <row r="1569" spans="2:4" ht="13" x14ac:dyDescent="0.15">
      <c r="B1569" s="3"/>
      <c r="C1569" s="3"/>
      <c r="D1569" s="3"/>
    </row>
    <row r="1570" spans="2:4" ht="13" x14ac:dyDescent="0.15">
      <c r="B1570" s="3"/>
      <c r="C1570" s="3"/>
      <c r="D1570" s="3"/>
    </row>
    <row r="1571" spans="2:4" ht="13" x14ac:dyDescent="0.15">
      <c r="B1571" s="3"/>
      <c r="C1571" s="3"/>
      <c r="D1571" s="3"/>
    </row>
    <row r="1572" spans="2:4" ht="13" x14ac:dyDescent="0.15">
      <c r="B1572" s="3"/>
      <c r="C1572" s="3"/>
      <c r="D1572" s="3"/>
    </row>
    <row r="1573" spans="2:4" ht="13" x14ac:dyDescent="0.15">
      <c r="B1573" s="3"/>
      <c r="C1573" s="3"/>
      <c r="D1573" s="3"/>
    </row>
    <row r="1574" spans="2:4" ht="13" x14ac:dyDescent="0.15">
      <c r="B1574" s="3"/>
      <c r="C1574" s="3"/>
      <c r="D1574" s="3"/>
    </row>
    <row r="1575" spans="2:4" ht="13" x14ac:dyDescent="0.15">
      <c r="B1575" s="3"/>
      <c r="C1575" s="3"/>
      <c r="D1575" s="3"/>
    </row>
    <row r="1576" spans="2:4" ht="13" x14ac:dyDescent="0.15">
      <c r="B1576" s="3"/>
      <c r="C1576" s="3"/>
      <c r="D1576" s="3"/>
    </row>
    <row r="1577" spans="2:4" ht="13" x14ac:dyDescent="0.15">
      <c r="B1577" s="3"/>
      <c r="C1577" s="3"/>
      <c r="D1577" s="3"/>
    </row>
    <row r="1578" spans="2:4" ht="13" x14ac:dyDescent="0.15">
      <c r="B1578" s="3"/>
      <c r="C1578" s="3"/>
      <c r="D1578" s="3"/>
    </row>
    <row r="1579" spans="2:4" ht="13" x14ac:dyDescent="0.15">
      <c r="B1579" s="3"/>
      <c r="C1579" s="3"/>
      <c r="D1579" s="3"/>
    </row>
    <row r="1580" spans="2:4" ht="13" x14ac:dyDescent="0.15">
      <c r="B1580" s="3"/>
      <c r="C1580" s="3"/>
      <c r="D1580" s="3"/>
    </row>
    <row r="1581" spans="2:4" ht="13" x14ac:dyDescent="0.15">
      <c r="B1581" s="3"/>
      <c r="C1581" s="3"/>
      <c r="D1581" s="3"/>
    </row>
    <row r="1582" spans="2:4" ht="13" x14ac:dyDescent="0.15">
      <c r="B1582" s="3"/>
      <c r="C1582" s="3"/>
      <c r="D1582" s="3"/>
    </row>
    <row r="1583" spans="2:4" ht="13" x14ac:dyDescent="0.15">
      <c r="B1583" s="3"/>
      <c r="C1583" s="3"/>
      <c r="D1583" s="3"/>
    </row>
    <row r="1584" spans="2:4" ht="13" x14ac:dyDescent="0.15">
      <c r="B1584" s="3"/>
      <c r="C1584" s="3"/>
      <c r="D1584" s="3"/>
    </row>
    <row r="1585" spans="2:4" ht="13" x14ac:dyDescent="0.15">
      <c r="B1585" s="3"/>
      <c r="C1585" s="3"/>
      <c r="D1585" s="3"/>
    </row>
    <row r="1586" spans="2:4" ht="13" x14ac:dyDescent="0.15">
      <c r="B1586" s="3"/>
      <c r="C1586" s="3"/>
      <c r="D1586" s="3"/>
    </row>
    <row r="1587" spans="2:4" ht="13" x14ac:dyDescent="0.15">
      <c r="B1587" s="3"/>
      <c r="C1587" s="3"/>
      <c r="D1587" s="3"/>
    </row>
    <row r="1588" spans="2:4" ht="13" x14ac:dyDescent="0.15">
      <c r="B1588" s="3"/>
      <c r="C1588" s="3"/>
      <c r="D1588" s="3"/>
    </row>
    <row r="1589" spans="2:4" ht="13" x14ac:dyDescent="0.15">
      <c r="B1589" s="3"/>
      <c r="C1589" s="3"/>
      <c r="D1589" s="3"/>
    </row>
    <row r="1590" spans="2:4" ht="13" x14ac:dyDescent="0.15">
      <c r="B1590" s="3"/>
      <c r="C1590" s="3"/>
      <c r="D1590" s="3"/>
    </row>
    <row r="1591" spans="2:4" ht="13" x14ac:dyDescent="0.15">
      <c r="B1591" s="3"/>
      <c r="C1591" s="3"/>
      <c r="D1591" s="3"/>
    </row>
    <row r="1592" spans="2:4" ht="13" x14ac:dyDescent="0.15">
      <c r="B1592" s="3"/>
      <c r="C1592" s="3"/>
      <c r="D1592" s="3"/>
    </row>
    <row r="1593" spans="2:4" ht="13" x14ac:dyDescent="0.15">
      <c r="B1593" s="3"/>
      <c r="C1593" s="3"/>
      <c r="D1593" s="3"/>
    </row>
    <row r="1594" spans="2:4" ht="13" x14ac:dyDescent="0.15">
      <c r="B1594" s="3"/>
      <c r="C1594" s="3"/>
      <c r="D1594" s="3"/>
    </row>
    <row r="1595" spans="2:4" ht="13" x14ac:dyDescent="0.15">
      <c r="B1595" s="3"/>
      <c r="C1595" s="3"/>
      <c r="D1595" s="3"/>
    </row>
    <row r="1596" spans="2:4" ht="13" x14ac:dyDescent="0.15">
      <c r="B1596" s="3"/>
      <c r="C1596" s="3"/>
      <c r="D1596" s="3"/>
    </row>
    <row r="1597" spans="2:4" ht="13" x14ac:dyDescent="0.15">
      <c r="B1597" s="3"/>
      <c r="C1597" s="3"/>
      <c r="D1597" s="3"/>
    </row>
    <row r="1598" spans="2:4" ht="13" x14ac:dyDescent="0.15">
      <c r="B1598" s="3"/>
      <c r="C1598" s="3"/>
      <c r="D1598" s="3"/>
    </row>
    <row r="1599" spans="2:4" ht="13" x14ac:dyDescent="0.15">
      <c r="B1599" s="3"/>
      <c r="C1599" s="3"/>
      <c r="D1599" s="3"/>
    </row>
    <row r="1600" spans="2:4" ht="13" x14ac:dyDescent="0.15">
      <c r="B1600" s="3"/>
      <c r="C1600" s="3"/>
      <c r="D1600" s="3"/>
    </row>
    <row r="1601" spans="2:4" ht="13" x14ac:dyDescent="0.15">
      <c r="B1601" s="3"/>
      <c r="C1601" s="3"/>
      <c r="D1601" s="3"/>
    </row>
    <row r="1602" spans="2:4" ht="13" x14ac:dyDescent="0.15">
      <c r="B1602" s="3"/>
      <c r="C1602" s="3"/>
      <c r="D1602" s="3"/>
    </row>
    <row r="1603" spans="2:4" ht="13" x14ac:dyDescent="0.15">
      <c r="B1603" s="3"/>
      <c r="C1603" s="3"/>
      <c r="D1603" s="3"/>
    </row>
    <row r="1604" spans="2:4" ht="13" x14ac:dyDescent="0.15">
      <c r="B1604" s="3"/>
      <c r="C1604" s="3"/>
      <c r="D1604" s="3"/>
    </row>
    <row r="1605" spans="2:4" ht="13" x14ac:dyDescent="0.15">
      <c r="B1605" s="3"/>
      <c r="C1605" s="3"/>
      <c r="D1605" s="3"/>
    </row>
    <row r="1606" spans="2:4" ht="13" x14ac:dyDescent="0.15">
      <c r="B1606" s="3"/>
      <c r="C1606" s="3"/>
      <c r="D1606" s="3"/>
    </row>
    <row r="1607" spans="2:4" ht="13" x14ac:dyDescent="0.15">
      <c r="B1607" s="3"/>
      <c r="C1607" s="3"/>
      <c r="D1607" s="3"/>
    </row>
    <row r="1608" spans="2:4" ht="13" x14ac:dyDescent="0.15">
      <c r="B1608" s="3"/>
      <c r="C1608" s="3"/>
      <c r="D1608" s="3"/>
    </row>
    <row r="1609" spans="2:4" ht="13" x14ac:dyDescent="0.15">
      <c r="B1609" s="3"/>
      <c r="C1609" s="3"/>
      <c r="D1609" s="3"/>
    </row>
    <row r="1610" spans="2:4" ht="13" x14ac:dyDescent="0.15">
      <c r="B1610" s="3"/>
      <c r="C1610" s="3"/>
      <c r="D1610" s="3"/>
    </row>
    <row r="1611" spans="2:4" ht="13" x14ac:dyDescent="0.15">
      <c r="B1611" s="3"/>
      <c r="C1611" s="3"/>
      <c r="D1611" s="3"/>
    </row>
    <row r="1612" spans="2:4" ht="13" x14ac:dyDescent="0.15">
      <c r="B1612" s="3"/>
      <c r="C1612" s="3"/>
      <c r="D1612" s="3"/>
    </row>
    <row r="1613" spans="2:4" ht="13" x14ac:dyDescent="0.15">
      <c r="B1613" s="3"/>
      <c r="C1613" s="3"/>
      <c r="D1613" s="3"/>
    </row>
    <row r="1614" spans="2:4" ht="13" x14ac:dyDescent="0.15">
      <c r="B1614" s="3"/>
      <c r="C1614" s="3"/>
      <c r="D1614" s="3"/>
    </row>
    <row r="1615" spans="2:4" ht="13" x14ac:dyDescent="0.15">
      <c r="B1615" s="3"/>
      <c r="C1615" s="3"/>
      <c r="D1615" s="3"/>
    </row>
    <row r="1616" spans="2:4" ht="13" x14ac:dyDescent="0.15">
      <c r="B1616" s="3"/>
      <c r="C1616" s="3"/>
      <c r="D1616" s="3"/>
    </row>
    <row r="1617" spans="2:4" ht="13" x14ac:dyDescent="0.15">
      <c r="B1617" s="3"/>
      <c r="C1617" s="3"/>
      <c r="D1617" s="3"/>
    </row>
    <row r="1618" spans="2:4" ht="13" x14ac:dyDescent="0.15">
      <c r="B1618" s="3"/>
      <c r="C1618" s="3"/>
      <c r="D1618" s="3"/>
    </row>
    <row r="1619" spans="2:4" ht="13" x14ac:dyDescent="0.15">
      <c r="B1619" s="3"/>
      <c r="C1619" s="3"/>
      <c r="D1619" s="3"/>
    </row>
    <row r="1620" spans="2:4" ht="13" x14ac:dyDescent="0.15">
      <c r="B1620" s="3"/>
      <c r="C1620" s="3"/>
      <c r="D1620" s="3"/>
    </row>
    <row r="1621" spans="2:4" ht="13" x14ac:dyDescent="0.15">
      <c r="B1621" s="3"/>
      <c r="C1621" s="3"/>
      <c r="D1621" s="3"/>
    </row>
    <row r="1622" spans="2:4" ht="13" x14ac:dyDescent="0.15">
      <c r="B1622" s="3"/>
      <c r="C1622" s="3"/>
      <c r="D1622" s="3"/>
    </row>
    <row r="1623" spans="2:4" ht="13" x14ac:dyDescent="0.15">
      <c r="B1623" s="3"/>
      <c r="C1623" s="3"/>
      <c r="D1623" s="3"/>
    </row>
    <row r="1624" spans="2:4" ht="13" x14ac:dyDescent="0.15">
      <c r="B1624" s="3"/>
      <c r="C1624" s="3"/>
      <c r="D1624" s="3"/>
    </row>
    <row r="1625" spans="2:4" ht="13" x14ac:dyDescent="0.15">
      <c r="B1625" s="3"/>
      <c r="C1625" s="3"/>
      <c r="D1625" s="3"/>
    </row>
    <row r="1626" spans="2:4" ht="13" x14ac:dyDescent="0.15">
      <c r="B1626" s="3"/>
      <c r="C1626" s="3"/>
      <c r="D1626" s="3"/>
    </row>
    <row r="1627" spans="2:4" ht="13" x14ac:dyDescent="0.15">
      <c r="B1627" s="3"/>
      <c r="C1627" s="3"/>
      <c r="D1627" s="3"/>
    </row>
    <row r="1628" spans="2:4" ht="13" x14ac:dyDescent="0.15">
      <c r="B1628" s="3"/>
      <c r="C1628" s="3"/>
      <c r="D1628" s="3"/>
    </row>
    <row r="1629" spans="2:4" ht="13" x14ac:dyDescent="0.15">
      <c r="B1629" s="3"/>
      <c r="C1629" s="3"/>
      <c r="D1629" s="3"/>
    </row>
    <row r="1630" spans="2:4" ht="13" x14ac:dyDescent="0.15">
      <c r="B1630" s="3"/>
      <c r="C1630" s="3"/>
      <c r="D1630" s="3"/>
    </row>
    <row r="1631" spans="2:4" ht="13" x14ac:dyDescent="0.15">
      <c r="B1631" s="3"/>
      <c r="C1631" s="3"/>
      <c r="D1631" s="3"/>
    </row>
    <row r="1632" spans="2:4" ht="13" x14ac:dyDescent="0.15">
      <c r="B1632" s="3"/>
      <c r="C1632" s="3"/>
      <c r="D1632" s="3"/>
    </row>
    <row r="1633" spans="2:4" ht="13" x14ac:dyDescent="0.15">
      <c r="B1633" s="3"/>
      <c r="C1633" s="3"/>
      <c r="D1633" s="3"/>
    </row>
    <row r="1634" spans="2:4" ht="13" x14ac:dyDescent="0.15">
      <c r="B1634" s="3"/>
      <c r="C1634" s="3"/>
      <c r="D1634" s="3"/>
    </row>
    <row r="1635" spans="2:4" ht="13" x14ac:dyDescent="0.15">
      <c r="B1635" s="3"/>
      <c r="C1635" s="3"/>
      <c r="D1635" s="3"/>
    </row>
    <row r="1636" spans="2:4" ht="13" x14ac:dyDescent="0.15">
      <c r="B1636" s="3"/>
      <c r="C1636" s="3"/>
      <c r="D1636" s="3"/>
    </row>
    <row r="1637" spans="2:4" ht="13" x14ac:dyDescent="0.15">
      <c r="B1637" s="3"/>
      <c r="C1637" s="3"/>
      <c r="D1637" s="3"/>
    </row>
    <row r="1638" spans="2:4" ht="13" x14ac:dyDescent="0.15">
      <c r="B1638" s="3"/>
      <c r="C1638" s="3"/>
      <c r="D1638" s="3"/>
    </row>
    <row r="1639" spans="2:4" ht="13" x14ac:dyDescent="0.15">
      <c r="B1639" s="3"/>
      <c r="C1639" s="3"/>
      <c r="D1639" s="3"/>
    </row>
    <row r="1640" spans="2:4" ht="13" x14ac:dyDescent="0.15">
      <c r="B1640" s="3"/>
      <c r="C1640" s="3"/>
      <c r="D1640" s="3"/>
    </row>
    <row r="1641" spans="2:4" ht="13" x14ac:dyDescent="0.15">
      <c r="B1641" s="3"/>
      <c r="C1641" s="3"/>
      <c r="D1641" s="3"/>
    </row>
    <row r="1642" spans="2:4" ht="13" x14ac:dyDescent="0.15">
      <c r="B1642" s="3"/>
      <c r="C1642" s="3"/>
      <c r="D1642" s="3"/>
    </row>
    <row r="1643" spans="2:4" ht="13" x14ac:dyDescent="0.15">
      <c r="B1643" s="3"/>
      <c r="C1643" s="3"/>
      <c r="D1643" s="3"/>
    </row>
    <row r="1644" spans="2:4" ht="13" x14ac:dyDescent="0.15">
      <c r="B1644" s="3"/>
      <c r="C1644" s="3"/>
      <c r="D1644" s="3"/>
    </row>
    <row r="1645" spans="2:4" ht="13" x14ac:dyDescent="0.15">
      <c r="B1645" s="3"/>
      <c r="C1645" s="3"/>
      <c r="D1645" s="3"/>
    </row>
    <row r="1646" spans="2:4" ht="13" x14ac:dyDescent="0.15">
      <c r="B1646" s="3"/>
      <c r="C1646" s="3"/>
      <c r="D1646" s="3"/>
    </row>
    <row r="1647" spans="2:4" ht="13" x14ac:dyDescent="0.15">
      <c r="B1647" s="3"/>
      <c r="C1647" s="3"/>
      <c r="D1647" s="3"/>
    </row>
    <row r="1648" spans="2:4" ht="13" x14ac:dyDescent="0.15">
      <c r="B1648" s="3"/>
      <c r="C1648" s="3"/>
      <c r="D1648" s="3"/>
    </row>
    <row r="1649" spans="2:4" ht="13" x14ac:dyDescent="0.15">
      <c r="B1649" s="3"/>
      <c r="C1649" s="3"/>
      <c r="D1649" s="3"/>
    </row>
    <row r="1650" spans="2:4" ht="13" x14ac:dyDescent="0.15">
      <c r="B1650" s="3"/>
      <c r="C1650" s="3"/>
      <c r="D1650" s="3"/>
    </row>
    <row r="1651" spans="2:4" ht="13" x14ac:dyDescent="0.15">
      <c r="B1651" s="3"/>
      <c r="C1651" s="3"/>
      <c r="D1651" s="3"/>
    </row>
    <row r="1652" spans="2:4" ht="13" x14ac:dyDescent="0.15">
      <c r="B1652" s="3"/>
      <c r="C1652" s="3"/>
      <c r="D1652" s="3"/>
    </row>
    <row r="1653" spans="2:4" ht="13" x14ac:dyDescent="0.15">
      <c r="B1653" s="3"/>
      <c r="C1653" s="3"/>
      <c r="D1653" s="3"/>
    </row>
    <row r="1654" spans="2:4" ht="13" x14ac:dyDescent="0.15">
      <c r="B1654" s="3"/>
      <c r="C1654" s="3"/>
      <c r="D1654" s="3"/>
    </row>
    <row r="1655" spans="2:4" ht="13" x14ac:dyDescent="0.15">
      <c r="B1655" s="3"/>
      <c r="C1655" s="3"/>
      <c r="D1655" s="3"/>
    </row>
    <row r="1656" spans="2:4" ht="13" x14ac:dyDescent="0.15">
      <c r="B1656" s="3"/>
      <c r="C1656" s="3"/>
      <c r="D1656" s="3"/>
    </row>
    <row r="1657" spans="2:4" ht="13" x14ac:dyDescent="0.15">
      <c r="B1657" s="3"/>
      <c r="C1657" s="3"/>
      <c r="D1657" s="3"/>
    </row>
    <row r="1658" spans="2:4" ht="13" x14ac:dyDescent="0.15">
      <c r="B1658" s="3"/>
      <c r="C1658" s="3"/>
      <c r="D1658" s="3"/>
    </row>
    <row r="1659" spans="2:4" ht="13" x14ac:dyDescent="0.15">
      <c r="B1659" s="3"/>
      <c r="C1659" s="3"/>
      <c r="D1659" s="3"/>
    </row>
    <row r="1660" spans="2:4" ht="13" x14ac:dyDescent="0.15">
      <c r="B1660" s="3"/>
      <c r="C1660" s="3"/>
      <c r="D1660" s="3"/>
    </row>
    <row r="1661" spans="2:4" ht="13" x14ac:dyDescent="0.15">
      <c r="B1661" s="3"/>
      <c r="C1661" s="3"/>
      <c r="D1661" s="3"/>
    </row>
    <row r="1662" spans="2:4" ht="13" x14ac:dyDescent="0.15">
      <c r="B1662" s="3"/>
      <c r="C1662" s="3"/>
      <c r="D1662" s="3"/>
    </row>
    <row r="1663" spans="2:4" ht="13" x14ac:dyDescent="0.15">
      <c r="B1663" s="3"/>
      <c r="C1663" s="3"/>
      <c r="D1663" s="3"/>
    </row>
    <row r="1664" spans="2:4" ht="13" x14ac:dyDescent="0.15">
      <c r="B1664" s="3"/>
      <c r="C1664" s="3"/>
      <c r="D1664" s="3"/>
    </row>
    <row r="1665" spans="2:4" ht="13" x14ac:dyDescent="0.15">
      <c r="B1665" s="3"/>
      <c r="C1665" s="3"/>
      <c r="D1665" s="3"/>
    </row>
    <row r="1666" spans="2:4" ht="13" x14ac:dyDescent="0.15">
      <c r="B1666" s="3"/>
      <c r="C1666" s="3"/>
      <c r="D1666" s="3"/>
    </row>
    <row r="1667" spans="2:4" ht="13" x14ac:dyDescent="0.15">
      <c r="B1667" s="3"/>
      <c r="C1667" s="3"/>
      <c r="D1667" s="3"/>
    </row>
    <row r="1668" spans="2:4" ht="13" x14ac:dyDescent="0.15">
      <c r="B1668" s="3"/>
      <c r="C1668" s="3"/>
      <c r="D1668" s="3"/>
    </row>
    <row r="1669" spans="2:4" ht="13" x14ac:dyDescent="0.15">
      <c r="B1669" s="3"/>
      <c r="C1669" s="3"/>
      <c r="D1669" s="3"/>
    </row>
    <row r="1670" spans="2:4" ht="13" x14ac:dyDescent="0.15">
      <c r="B1670" s="3"/>
      <c r="C1670" s="3"/>
      <c r="D1670" s="3"/>
    </row>
    <row r="1671" spans="2:4" ht="13" x14ac:dyDescent="0.15">
      <c r="B1671" s="3"/>
      <c r="C1671" s="3"/>
      <c r="D1671" s="3"/>
    </row>
    <row r="1672" spans="2:4" ht="13" x14ac:dyDescent="0.15">
      <c r="B1672" s="3"/>
      <c r="C1672" s="3"/>
      <c r="D1672" s="3"/>
    </row>
    <row r="1673" spans="2:4" ht="13" x14ac:dyDescent="0.15">
      <c r="B1673" s="3"/>
      <c r="C1673" s="3"/>
      <c r="D1673" s="3"/>
    </row>
    <row r="1674" spans="2:4" ht="13" x14ac:dyDescent="0.15">
      <c r="B1674" s="3"/>
      <c r="C1674" s="3"/>
      <c r="D1674" s="3"/>
    </row>
    <row r="1675" spans="2:4" ht="13" x14ac:dyDescent="0.15">
      <c r="B1675" s="3"/>
      <c r="C1675" s="3"/>
      <c r="D1675" s="3"/>
    </row>
    <row r="1676" spans="2:4" ht="13" x14ac:dyDescent="0.15">
      <c r="B1676" s="3"/>
      <c r="C1676" s="3"/>
      <c r="D1676" s="3"/>
    </row>
    <row r="1677" spans="2:4" ht="13" x14ac:dyDescent="0.15">
      <c r="B1677" s="3"/>
      <c r="C1677" s="3"/>
      <c r="D1677" s="3"/>
    </row>
    <row r="1678" spans="2:4" ht="13" x14ac:dyDescent="0.15">
      <c r="B1678" s="3"/>
      <c r="C1678" s="3"/>
      <c r="D1678" s="3"/>
    </row>
    <row r="1679" spans="2:4" ht="13" x14ac:dyDescent="0.15">
      <c r="B1679" s="3"/>
      <c r="C1679" s="3"/>
      <c r="D1679" s="3"/>
    </row>
    <row r="1680" spans="2:4" ht="13" x14ac:dyDescent="0.15">
      <c r="B1680" s="3"/>
      <c r="C1680" s="3"/>
      <c r="D1680" s="3"/>
    </row>
    <row r="1681" spans="2:4" ht="13" x14ac:dyDescent="0.15">
      <c r="B1681" s="3"/>
      <c r="C1681" s="3"/>
      <c r="D1681" s="3"/>
    </row>
    <row r="1682" spans="2:4" ht="13" x14ac:dyDescent="0.15">
      <c r="B1682" s="3"/>
      <c r="C1682" s="3"/>
      <c r="D1682" s="3"/>
    </row>
    <row r="1683" spans="2:4" ht="13" x14ac:dyDescent="0.15">
      <c r="B1683" s="3"/>
      <c r="C1683" s="3"/>
      <c r="D1683" s="3"/>
    </row>
    <row r="1684" spans="2:4" ht="13" x14ac:dyDescent="0.15">
      <c r="B1684" s="3"/>
      <c r="C1684" s="3"/>
      <c r="D1684" s="3"/>
    </row>
    <row r="1685" spans="2:4" ht="13" x14ac:dyDescent="0.15">
      <c r="B1685" s="3"/>
      <c r="C1685" s="3"/>
      <c r="D1685" s="3"/>
    </row>
    <row r="1686" spans="2:4" ht="13" x14ac:dyDescent="0.15">
      <c r="B1686" s="3"/>
      <c r="C1686" s="3"/>
      <c r="D1686" s="3"/>
    </row>
    <row r="1687" spans="2:4" ht="13" x14ac:dyDescent="0.15">
      <c r="B1687" s="3"/>
      <c r="C1687" s="3"/>
      <c r="D1687" s="3"/>
    </row>
    <row r="1688" spans="2:4" ht="13" x14ac:dyDescent="0.15">
      <c r="B1688" s="3"/>
      <c r="C1688" s="3"/>
      <c r="D1688" s="3"/>
    </row>
    <row r="1689" spans="2:4" ht="13" x14ac:dyDescent="0.15">
      <c r="B1689" s="3"/>
      <c r="C1689" s="3"/>
      <c r="D1689" s="3"/>
    </row>
    <row r="1690" spans="2:4" ht="13" x14ac:dyDescent="0.15">
      <c r="B1690" s="3"/>
      <c r="C1690" s="3"/>
      <c r="D1690" s="3"/>
    </row>
    <row r="1691" spans="2:4" ht="13" x14ac:dyDescent="0.15">
      <c r="B1691" s="3"/>
      <c r="C1691" s="3"/>
      <c r="D1691" s="3"/>
    </row>
    <row r="1692" spans="2:4" ht="13" x14ac:dyDescent="0.15">
      <c r="B1692" s="3"/>
      <c r="C1692" s="3"/>
      <c r="D1692" s="3"/>
    </row>
    <row r="1693" spans="2:4" ht="13" x14ac:dyDescent="0.15">
      <c r="B1693" s="3"/>
      <c r="C1693" s="3"/>
      <c r="D1693" s="3"/>
    </row>
    <row r="1694" spans="2:4" ht="13" x14ac:dyDescent="0.15">
      <c r="B1694" s="3"/>
      <c r="C1694" s="3"/>
      <c r="D1694" s="3"/>
    </row>
    <row r="1695" spans="2:4" ht="13" x14ac:dyDescent="0.15">
      <c r="B1695" s="3"/>
      <c r="C1695" s="3"/>
      <c r="D1695" s="3"/>
    </row>
    <row r="1696" spans="2:4" ht="13" x14ac:dyDescent="0.15">
      <c r="B1696" s="3"/>
      <c r="C1696" s="3"/>
      <c r="D1696" s="3"/>
    </row>
    <row r="1697" spans="2:4" ht="13" x14ac:dyDescent="0.15">
      <c r="B1697" s="3"/>
      <c r="C1697" s="3"/>
      <c r="D1697" s="3"/>
    </row>
    <row r="1698" spans="2:4" ht="13" x14ac:dyDescent="0.15">
      <c r="B1698" s="3"/>
      <c r="C1698" s="3"/>
      <c r="D1698" s="3"/>
    </row>
    <row r="1699" spans="2:4" ht="13" x14ac:dyDescent="0.15">
      <c r="B1699" s="3"/>
      <c r="C1699" s="3"/>
      <c r="D1699" s="3"/>
    </row>
    <row r="1700" spans="2:4" ht="13" x14ac:dyDescent="0.15">
      <c r="B1700" s="3"/>
      <c r="C1700" s="3"/>
      <c r="D1700" s="3"/>
    </row>
    <row r="1701" spans="2:4" ht="13" x14ac:dyDescent="0.15">
      <c r="B1701" s="3"/>
      <c r="C1701" s="3"/>
      <c r="D1701" s="3"/>
    </row>
    <row r="1702" spans="2:4" ht="13" x14ac:dyDescent="0.15">
      <c r="B1702" s="3"/>
      <c r="C1702" s="3"/>
      <c r="D1702" s="3"/>
    </row>
    <row r="1703" spans="2:4" ht="13" x14ac:dyDescent="0.15">
      <c r="B1703" s="3"/>
      <c r="C1703" s="3"/>
      <c r="D1703" s="3"/>
    </row>
    <row r="1704" spans="2:4" ht="13" x14ac:dyDescent="0.15">
      <c r="B1704" s="3"/>
      <c r="C1704" s="3"/>
      <c r="D1704" s="3"/>
    </row>
    <row r="1705" spans="2:4" ht="13" x14ac:dyDescent="0.15">
      <c r="B1705" s="3"/>
      <c r="C1705" s="3"/>
      <c r="D1705" s="3"/>
    </row>
    <row r="1706" spans="2:4" ht="13" x14ac:dyDescent="0.15">
      <c r="B1706" s="3"/>
      <c r="C1706" s="3"/>
      <c r="D1706" s="3"/>
    </row>
    <row r="1707" spans="2:4" ht="13" x14ac:dyDescent="0.15">
      <c r="B1707" s="3"/>
      <c r="C1707" s="3"/>
      <c r="D1707" s="3"/>
    </row>
    <row r="1708" spans="2:4" ht="13" x14ac:dyDescent="0.15">
      <c r="B1708" s="3"/>
      <c r="C1708" s="3"/>
      <c r="D1708" s="3"/>
    </row>
    <row r="1709" spans="2:4" ht="13" x14ac:dyDescent="0.15">
      <c r="B1709" s="3"/>
      <c r="C1709" s="3"/>
      <c r="D1709" s="3"/>
    </row>
    <row r="1710" spans="2:4" ht="13" x14ac:dyDescent="0.15">
      <c r="B1710" s="3"/>
      <c r="C1710" s="3"/>
      <c r="D1710" s="3"/>
    </row>
    <row r="1711" spans="2:4" ht="13" x14ac:dyDescent="0.15">
      <c r="B1711" s="3"/>
      <c r="C1711" s="3"/>
      <c r="D1711" s="3"/>
    </row>
    <row r="1712" spans="2:4" ht="13" x14ac:dyDescent="0.15">
      <c r="B1712" s="3"/>
      <c r="C1712" s="3"/>
      <c r="D1712" s="3"/>
    </row>
    <row r="1713" spans="2:4" ht="13" x14ac:dyDescent="0.15">
      <c r="B1713" s="3"/>
      <c r="C1713" s="3"/>
      <c r="D1713" s="3"/>
    </row>
    <row r="1714" spans="2:4" ht="13" x14ac:dyDescent="0.15">
      <c r="B1714" s="3"/>
      <c r="C1714" s="3"/>
      <c r="D1714" s="3"/>
    </row>
    <row r="1715" spans="2:4" ht="13" x14ac:dyDescent="0.15">
      <c r="B1715" s="3"/>
      <c r="C1715" s="3"/>
      <c r="D1715" s="3"/>
    </row>
    <row r="1716" spans="2:4" ht="13" x14ac:dyDescent="0.15">
      <c r="B1716" s="3"/>
      <c r="C1716" s="3"/>
      <c r="D1716" s="3"/>
    </row>
    <row r="1717" spans="2:4" ht="13" x14ac:dyDescent="0.15">
      <c r="B1717" s="3"/>
      <c r="C1717" s="3"/>
      <c r="D1717" s="3"/>
    </row>
    <row r="1718" spans="2:4" ht="13" x14ac:dyDescent="0.15">
      <c r="B1718" s="3"/>
      <c r="C1718" s="3"/>
      <c r="D1718" s="3"/>
    </row>
    <row r="1719" spans="2:4" ht="13" x14ac:dyDescent="0.15">
      <c r="B1719" s="3"/>
      <c r="C1719" s="3"/>
      <c r="D1719" s="3"/>
    </row>
    <row r="1720" spans="2:4" ht="13" x14ac:dyDescent="0.15">
      <c r="B1720" s="3"/>
      <c r="C1720" s="3"/>
      <c r="D1720" s="3"/>
    </row>
    <row r="1721" spans="2:4" ht="13" x14ac:dyDescent="0.15">
      <c r="B1721" s="3"/>
      <c r="C1721" s="3"/>
      <c r="D1721" s="3"/>
    </row>
    <row r="1722" spans="2:4" ht="13" x14ac:dyDescent="0.15">
      <c r="B1722" s="3"/>
      <c r="C1722" s="3"/>
      <c r="D1722" s="3"/>
    </row>
    <row r="1723" spans="2:4" ht="13" x14ac:dyDescent="0.15">
      <c r="B1723" s="3"/>
      <c r="C1723" s="3"/>
      <c r="D1723" s="3"/>
    </row>
    <row r="1724" spans="2:4" ht="13" x14ac:dyDescent="0.15">
      <c r="B1724" s="3"/>
      <c r="C1724" s="3"/>
      <c r="D1724" s="3"/>
    </row>
    <row r="1725" spans="2:4" ht="13" x14ac:dyDescent="0.15">
      <c r="B1725" s="3"/>
      <c r="C1725" s="3"/>
      <c r="D1725" s="3"/>
    </row>
    <row r="1726" spans="2:4" ht="13" x14ac:dyDescent="0.15">
      <c r="B1726" s="3"/>
      <c r="C1726" s="3"/>
      <c r="D1726" s="3"/>
    </row>
    <row r="1727" spans="2:4" ht="13" x14ac:dyDescent="0.15">
      <c r="B1727" s="3"/>
      <c r="C1727" s="3"/>
      <c r="D1727" s="3"/>
    </row>
    <row r="1728" spans="2:4" ht="13" x14ac:dyDescent="0.15">
      <c r="B1728" s="3"/>
      <c r="C1728" s="3"/>
      <c r="D1728" s="3"/>
    </row>
    <row r="1729" spans="2:4" ht="13" x14ac:dyDescent="0.15">
      <c r="B1729" s="3"/>
      <c r="C1729" s="3"/>
      <c r="D1729" s="3"/>
    </row>
    <row r="1730" spans="2:4" ht="13" x14ac:dyDescent="0.15">
      <c r="B1730" s="3"/>
      <c r="C1730" s="3"/>
      <c r="D1730" s="3"/>
    </row>
    <row r="1731" spans="2:4" ht="13" x14ac:dyDescent="0.15">
      <c r="B1731" s="3"/>
      <c r="C1731" s="3"/>
      <c r="D1731" s="3"/>
    </row>
    <row r="1732" spans="2:4" ht="13" x14ac:dyDescent="0.15">
      <c r="B1732" s="3"/>
      <c r="C1732" s="3"/>
      <c r="D1732" s="3"/>
    </row>
    <row r="1733" spans="2:4" ht="13" x14ac:dyDescent="0.15">
      <c r="B1733" s="3"/>
      <c r="C1733" s="3"/>
      <c r="D1733" s="3"/>
    </row>
    <row r="1734" spans="2:4" ht="13" x14ac:dyDescent="0.15">
      <c r="B1734" s="3"/>
      <c r="C1734" s="3"/>
      <c r="D1734" s="3"/>
    </row>
    <row r="1735" spans="2:4" ht="13" x14ac:dyDescent="0.15">
      <c r="B1735" s="3"/>
      <c r="C1735" s="3"/>
      <c r="D1735" s="3"/>
    </row>
    <row r="1736" spans="2:4" ht="13" x14ac:dyDescent="0.15">
      <c r="B1736" s="3"/>
      <c r="C1736" s="3"/>
      <c r="D1736" s="3"/>
    </row>
    <row r="1737" spans="2:4" ht="13" x14ac:dyDescent="0.15">
      <c r="B1737" s="3"/>
      <c r="C1737" s="3"/>
      <c r="D1737" s="3"/>
    </row>
    <row r="1738" spans="2:4" ht="13" x14ac:dyDescent="0.15">
      <c r="B1738" s="3"/>
      <c r="C1738" s="3"/>
      <c r="D1738" s="3"/>
    </row>
    <row r="1739" spans="2:4" ht="13" x14ac:dyDescent="0.15">
      <c r="B1739" s="3"/>
      <c r="C1739" s="3"/>
      <c r="D1739" s="3"/>
    </row>
    <row r="1740" spans="2:4" ht="13" x14ac:dyDescent="0.15">
      <c r="B1740" s="3"/>
      <c r="C1740" s="3"/>
      <c r="D1740" s="3"/>
    </row>
    <row r="1741" spans="2:4" ht="13" x14ac:dyDescent="0.15">
      <c r="B1741" s="3"/>
      <c r="C1741" s="3"/>
      <c r="D1741" s="3"/>
    </row>
    <row r="1742" spans="2:4" ht="13" x14ac:dyDescent="0.15">
      <c r="B1742" s="3"/>
      <c r="C1742" s="3"/>
      <c r="D1742" s="3"/>
    </row>
    <row r="1743" spans="2:4" ht="13" x14ac:dyDescent="0.15">
      <c r="B1743" s="3"/>
      <c r="C1743" s="3"/>
      <c r="D1743" s="3"/>
    </row>
    <row r="1744" spans="2:4" ht="13" x14ac:dyDescent="0.15">
      <c r="B1744" s="3"/>
      <c r="C1744" s="3"/>
      <c r="D1744" s="3"/>
    </row>
    <row r="1745" spans="2:4" ht="13" x14ac:dyDescent="0.15">
      <c r="B1745" s="3"/>
      <c r="C1745" s="3"/>
      <c r="D1745" s="3"/>
    </row>
    <row r="1746" spans="2:4" ht="13" x14ac:dyDescent="0.15">
      <c r="B1746" s="3"/>
      <c r="C1746" s="3"/>
      <c r="D1746" s="3"/>
    </row>
    <row r="1747" spans="2:4" ht="13" x14ac:dyDescent="0.15">
      <c r="B1747" s="3"/>
      <c r="C1747" s="3"/>
      <c r="D1747" s="3"/>
    </row>
    <row r="1748" spans="2:4" ht="13" x14ac:dyDescent="0.15">
      <c r="B1748" s="3"/>
      <c r="C1748" s="3"/>
      <c r="D1748" s="3"/>
    </row>
    <row r="1749" spans="2:4" ht="13" x14ac:dyDescent="0.15">
      <c r="B1749" s="3"/>
      <c r="C1749" s="3"/>
      <c r="D1749" s="3"/>
    </row>
    <row r="1750" spans="2:4" ht="13" x14ac:dyDescent="0.15">
      <c r="B1750" s="3"/>
      <c r="C1750" s="3"/>
      <c r="D1750" s="3"/>
    </row>
    <row r="1751" spans="2:4" ht="13" x14ac:dyDescent="0.15">
      <c r="B1751" s="3"/>
      <c r="C1751" s="3"/>
      <c r="D1751" s="3"/>
    </row>
    <row r="1752" spans="2:4" ht="13" x14ac:dyDescent="0.15">
      <c r="B1752" s="3"/>
      <c r="C1752" s="3"/>
      <c r="D1752" s="3"/>
    </row>
    <row r="1753" spans="2:4" ht="13" x14ac:dyDescent="0.15">
      <c r="B1753" s="3"/>
      <c r="C1753" s="3"/>
      <c r="D1753" s="3"/>
    </row>
    <row r="1754" spans="2:4" ht="13" x14ac:dyDescent="0.15">
      <c r="B1754" s="3"/>
      <c r="C1754" s="3"/>
      <c r="D1754" s="3"/>
    </row>
    <row r="1755" spans="2:4" ht="13" x14ac:dyDescent="0.15">
      <c r="B1755" s="3"/>
      <c r="C1755" s="3"/>
      <c r="D1755" s="3"/>
    </row>
    <row r="1756" spans="2:4" ht="13" x14ac:dyDescent="0.15">
      <c r="B1756" s="3"/>
      <c r="C1756" s="3"/>
      <c r="D1756" s="3"/>
    </row>
    <row r="1757" spans="2:4" ht="13" x14ac:dyDescent="0.15">
      <c r="B1757" s="3"/>
      <c r="C1757" s="3"/>
      <c r="D1757" s="3"/>
    </row>
    <row r="1758" spans="2:4" ht="13" x14ac:dyDescent="0.15">
      <c r="B1758" s="3"/>
      <c r="C1758" s="3"/>
      <c r="D1758" s="3"/>
    </row>
    <row r="1759" spans="2:4" ht="13" x14ac:dyDescent="0.15">
      <c r="B1759" s="3"/>
      <c r="C1759" s="3"/>
      <c r="D1759" s="3"/>
    </row>
    <row r="1760" spans="2:4" ht="13" x14ac:dyDescent="0.15">
      <c r="B1760" s="3"/>
      <c r="C1760" s="3"/>
      <c r="D1760" s="3"/>
    </row>
    <row r="1761" spans="2:4" ht="13" x14ac:dyDescent="0.15">
      <c r="B1761" s="3"/>
      <c r="C1761" s="3"/>
      <c r="D1761" s="3"/>
    </row>
    <row r="1762" spans="2:4" ht="13" x14ac:dyDescent="0.15">
      <c r="B1762" s="3"/>
      <c r="C1762" s="3"/>
      <c r="D1762" s="3"/>
    </row>
    <row r="1763" spans="2:4" ht="13" x14ac:dyDescent="0.15">
      <c r="B1763" s="3"/>
      <c r="C1763" s="3"/>
      <c r="D1763" s="3"/>
    </row>
    <row r="1764" spans="2:4" ht="13" x14ac:dyDescent="0.15">
      <c r="B1764" s="3"/>
      <c r="C1764" s="3"/>
      <c r="D1764" s="3"/>
    </row>
    <row r="1765" spans="2:4" ht="13" x14ac:dyDescent="0.15">
      <c r="B1765" s="3"/>
      <c r="C1765" s="3"/>
      <c r="D1765" s="3"/>
    </row>
    <row r="1766" spans="2:4" ht="13" x14ac:dyDescent="0.15">
      <c r="B1766" s="3"/>
      <c r="C1766" s="3"/>
      <c r="D1766" s="3"/>
    </row>
    <row r="1767" spans="2:4" ht="13" x14ac:dyDescent="0.15">
      <c r="B1767" s="3"/>
      <c r="C1767" s="3"/>
      <c r="D1767" s="3"/>
    </row>
    <row r="1768" spans="2:4" ht="13" x14ac:dyDescent="0.15">
      <c r="B1768" s="3"/>
      <c r="C1768" s="3"/>
      <c r="D1768" s="3"/>
    </row>
    <row r="1769" spans="2:4" ht="13" x14ac:dyDescent="0.15">
      <c r="B1769" s="3"/>
      <c r="C1769" s="3"/>
      <c r="D1769" s="3"/>
    </row>
    <row r="1770" spans="2:4" ht="13" x14ac:dyDescent="0.15">
      <c r="B1770" s="3"/>
      <c r="C1770" s="3"/>
      <c r="D1770" s="3"/>
    </row>
    <row r="1771" spans="2:4" ht="13" x14ac:dyDescent="0.15">
      <c r="B1771" s="3"/>
      <c r="C1771" s="3"/>
      <c r="D1771" s="3"/>
    </row>
    <row r="1772" spans="2:4" ht="13" x14ac:dyDescent="0.15">
      <c r="B1772" s="3"/>
      <c r="C1772" s="3"/>
      <c r="D1772" s="3"/>
    </row>
    <row r="1773" spans="2:4" ht="13" x14ac:dyDescent="0.15">
      <c r="B1773" s="3"/>
      <c r="C1773" s="3"/>
      <c r="D1773" s="3"/>
    </row>
    <row r="1774" spans="2:4" ht="13" x14ac:dyDescent="0.15">
      <c r="B1774" s="3"/>
      <c r="C1774" s="3"/>
      <c r="D1774" s="3"/>
    </row>
    <row r="1775" spans="2:4" ht="13" x14ac:dyDescent="0.15">
      <c r="B1775" s="3"/>
      <c r="C1775" s="3"/>
      <c r="D1775" s="3"/>
    </row>
    <row r="1776" spans="2:4" ht="13" x14ac:dyDescent="0.15">
      <c r="B1776" s="3"/>
      <c r="C1776" s="3"/>
      <c r="D1776" s="3"/>
    </row>
    <row r="1777" spans="2:4" ht="13" x14ac:dyDescent="0.15">
      <c r="B1777" s="3"/>
      <c r="C1777" s="3"/>
      <c r="D1777" s="3"/>
    </row>
    <row r="1778" spans="2:4" ht="13" x14ac:dyDescent="0.15">
      <c r="B1778" s="3"/>
      <c r="C1778" s="3"/>
      <c r="D1778" s="3"/>
    </row>
    <row r="1779" spans="2:4" ht="13" x14ac:dyDescent="0.15">
      <c r="B1779" s="3"/>
      <c r="C1779" s="3"/>
      <c r="D1779" s="3"/>
    </row>
    <row r="1780" spans="2:4" ht="13" x14ac:dyDescent="0.15">
      <c r="B1780" s="3"/>
      <c r="C1780" s="3"/>
      <c r="D1780" s="3"/>
    </row>
    <row r="1781" spans="2:4" ht="13" x14ac:dyDescent="0.15">
      <c r="B1781" s="3"/>
      <c r="C1781" s="3"/>
      <c r="D1781" s="3"/>
    </row>
    <row r="1782" spans="2:4" ht="13" x14ac:dyDescent="0.15">
      <c r="B1782" s="3"/>
      <c r="C1782" s="3"/>
      <c r="D1782" s="3"/>
    </row>
    <row r="1783" spans="2:4" ht="13" x14ac:dyDescent="0.15">
      <c r="B1783" s="3"/>
      <c r="C1783" s="3"/>
      <c r="D1783" s="3"/>
    </row>
    <row r="1784" spans="2:4" ht="13" x14ac:dyDescent="0.15">
      <c r="B1784" s="3"/>
      <c r="C1784" s="3"/>
      <c r="D1784" s="3"/>
    </row>
    <row r="1785" spans="2:4" ht="13" x14ac:dyDescent="0.15">
      <c r="B1785" s="3"/>
      <c r="C1785" s="3"/>
      <c r="D1785" s="3"/>
    </row>
    <row r="1786" spans="2:4" ht="13" x14ac:dyDescent="0.15">
      <c r="B1786" s="3"/>
      <c r="C1786" s="3"/>
      <c r="D1786" s="3"/>
    </row>
    <row r="1787" spans="2:4" ht="13" x14ac:dyDescent="0.15">
      <c r="B1787" s="3"/>
      <c r="C1787" s="3"/>
      <c r="D1787" s="3"/>
    </row>
    <row r="1788" spans="2:4" ht="13" x14ac:dyDescent="0.15">
      <c r="B1788" s="3"/>
      <c r="C1788" s="3"/>
      <c r="D1788" s="3"/>
    </row>
    <row r="1789" spans="2:4" ht="13" x14ac:dyDescent="0.15">
      <c r="B1789" s="3"/>
      <c r="C1789" s="3"/>
      <c r="D1789" s="3"/>
    </row>
    <row r="1790" spans="2:4" ht="13" x14ac:dyDescent="0.15">
      <c r="B1790" s="3"/>
      <c r="C1790" s="3"/>
      <c r="D1790" s="3"/>
    </row>
    <row r="1791" spans="2:4" ht="13" x14ac:dyDescent="0.15">
      <c r="B1791" s="3"/>
      <c r="C1791" s="3"/>
      <c r="D1791" s="3"/>
    </row>
    <row r="1792" spans="2:4" ht="13" x14ac:dyDescent="0.15">
      <c r="B1792" s="3"/>
      <c r="C1792" s="3"/>
      <c r="D1792" s="3"/>
    </row>
    <row r="1793" spans="2:4" ht="13" x14ac:dyDescent="0.15">
      <c r="B1793" s="3"/>
      <c r="C1793" s="3"/>
      <c r="D1793" s="3"/>
    </row>
    <row r="1794" spans="2:4" ht="13" x14ac:dyDescent="0.15">
      <c r="B1794" s="3"/>
      <c r="C1794" s="3"/>
      <c r="D1794" s="3"/>
    </row>
    <row r="1795" spans="2:4" ht="13" x14ac:dyDescent="0.15">
      <c r="B1795" s="3"/>
      <c r="C1795" s="3"/>
      <c r="D1795" s="3"/>
    </row>
    <row r="1796" spans="2:4" ht="13" x14ac:dyDescent="0.15">
      <c r="B1796" s="3"/>
      <c r="C1796" s="3"/>
      <c r="D1796" s="3"/>
    </row>
    <row r="1797" spans="2:4" ht="13" x14ac:dyDescent="0.15">
      <c r="B1797" s="3"/>
      <c r="C1797" s="3"/>
      <c r="D1797" s="3"/>
    </row>
    <row r="1798" spans="2:4" ht="13" x14ac:dyDescent="0.15">
      <c r="B1798" s="3"/>
      <c r="C1798" s="3"/>
      <c r="D1798" s="3"/>
    </row>
    <row r="1799" spans="2:4" ht="13" x14ac:dyDescent="0.15">
      <c r="B1799" s="3"/>
      <c r="C1799" s="3"/>
      <c r="D1799" s="3"/>
    </row>
    <row r="1800" spans="2:4" ht="13" x14ac:dyDescent="0.15">
      <c r="B1800" s="3"/>
      <c r="C1800" s="3"/>
      <c r="D1800" s="3"/>
    </row>
    <row r="1801" spans="2:4" ht="13" x14ac:dyDescent="0.15">
      <c r="B1801" s="3"/>
      <c r="C1801" s="3"/>
      <c r="D1801" s="3"/>
    </row>
    <row r="1802" spans="2:4" ht="13" x14ac:dyDescent="0.15">
      <c r="B1802" s="3"/>
      <c r="C1802" s="3"/>
      <c r="D1802" s="3"/>
    </row>
    <row r="1803" spans="2:4" ht="13" x14ac:dyDescent="0.15">
      <c r="B1803" s="3"/>
      <c r="C1803" s="3"/>
      <c r="D1803" s="3"/>
    </row>
    <row r="1804" spans="2:4" ht="13" x14ac:dyDescent="0.15">
      <c r="B1804" s="3"/>
      <c r="C1804" s="3"/>
      <c r="D1804" s="3"/>
    </row>
    <row r="1805" spans="2:4" ht="13" x14ac:dyDescent="0.15">
      <c r="B1805" s="3"/>
      <c r="C1805" s="3"/>
      <c r="D1805" s="3"/>
    </row>
    <row r="1806" spans="2:4" ht="13" x14ac:dyDescent="0.15">
      <c r="B1806" s="3"/>
      <c r="C1806" s="3"/>
      <c r="D1806" s="3"/>
    </row>
    <row r="1807" spans="2:4" ht="13" x14ac:dyDescent="0.15">
      <c r="B1807" s="3"/>
      <c r="C1807" s="3"/>
      <c r="D1807" s="3"/>
    </row>
    <row r="1808" spans="2:4" ht="13" x14ac:dyDescent="0.15">
      <c r="B1808" s="3"/>
      <c r="C1808" s="3"/>
      <c r="D1808" s="3"/>
    </row>
    <row r="1809" spans="2:4" ht="13" x14ac:dyDescent="0.15">
      <c r="B1809" s="3"/>
      <c r="C1809" s="3"/>
      <c r="D1809" s="3"/>
    </row>
    <row r="1810" spans="2:4" ht="13" x14ac:dyDescent="0.15">
      <c r="B1810" s="3"/>
      <c r="C1810" s="3"/>
      <c r="D1810" s="3"/>
    </row>
    <row r="1811" spans="2:4" ht="13" x14ac:dyDescent="0.15">
      <c r="B1811" s="3"/>
      <c r="C1811" s="3"/>
      <c r="D1811" s="3"/>
    </row>
    <row r="1812" spans="2:4" ht="13" x14ac:dyDescent="0.15">
      <c r="B1812" s="3"/>
      <c r="C1812" s="3"/>
      <c r="D1812" s="3"/>
    </row>
    <row r="1813" spans="2:4" ht="13" x14ac:dyDescent="0.15">
      <c r="B1813" s="3"/>
      <c r="C1813" s="3"/>
      <c r="D1813" s="3"/>
    </row>
    <row r="1814" spans="2:4" ht="13" x14ac:dyDescent="0.15">
      <c r="B1814" s="3"/>
      <c r="C1814" s="3"/>
      <c r="D1814" s="3"/>
    </row>
    <row r="1815" spans="2:4" ht="13" x14ac:dyDescent="0.15">
      <c r="B1815" s="3"/>
      <c r="C1815" s="3"/>
      <c r="D1815" s="3"/>
    </row>
    <row r="1816" spans="2:4" ht="13" x14ac:dyDescent="0.15">
      <c r="B1816" s="3"/>
      <c r="C1816" s="3"/>
      <c r="D1816" s="3"/>
    </row>
    <row r="1817" spans="2:4" ht="13" x14ac:dyDescent="0.15">
      <c r="B1817" s="3"/>
      <c r="C1817" s="3"/>
      <c r="D1817" s="3"/>
    </row>
    <row r="1818" spans="2:4" ht="13" x14ac:dyDescent="0.15">
      <c r="B1818" s="3"/>
      <c r="C1818" s="3"/>
      <c r="D1818" s="3"/>
    </row>
    <row r="1819" spans="2:4" ht="13" x14ac:dyDescent="0.15">
      <c r="B1819" s="3"/>
      <c r="C1819" s="3"/>
      <c r="D1819" s="3"/>
    </row>
    <row r="1820" spans="2:4" ht="13" x14ac:dyDescent="0.15">
      <c r="B1820" s="3"/>
      <c r="C1820" s="3"/>
      <c r="D1820" s="3"/>
    </row>
    <row r="1821" spans="2:4" ht="13" x14ac:dyDescent="0.15">
      <c r="B1821" s="3"/>
      <c r="C1821" s="3"/>
      <c r="D1821" s="3"/>
    </row>
    <row r="1822" spans="2:4" ht="13" x14ac:dyDescent="0.15">
      <c r="B1822" s="3"/>
      <c r="C1822" s="3"/>
      <c r="D1822" s="3"/>
    </row>
    <row r="1823" spans="2:4" ht="13" x14ac:dyDescent="0.15">
      <c r="B1823" s="3"/>
      <c r="C1823" s="3"/>
      <c r="D1823" s="3"/>
    </row>
    <row r="1824" spans="2:4" ht="13" x14ac:dyDescent="0.15">
      <c r="B1824" s="3"/>
      <c r="C1824" s="3"/>
      <c r="D1824" s="3"/>
    </row>
    <row r="1825" spans="2:4" ht="13" x14ac:dyDescent="0.15">
      <c r="B1825" s="3"/>
      <c r="C1825" s="3"/>
      <c r="D1825" s="3"/>
    </row>
    <row r="1826" spans="2:4" ht="13" x14ac:dyDescent="0.15">
      <c r="B1826" s="3"/>
      <c r="C1826" s="3"/>
      <c r="D1826" s="3"/>
    </row>
    <row r="1827" spans="2:4" ht="13" x14ac:dyDescent="0.15">
      <c r="B1827" s="3"/>
      <c r="C1827" s="3"/>
      <c r="D1827" s="3"/>
    </row>
    <row r="1828" spans="2:4" ht="13" x14ac:dyDescent="0.15">
      <c r="B1828" s="3"/>
      <c r="C1828" s="3"/>
      <c r="D1828" s="3"/>
    </row>
    <row r="1829" spans="2:4" ht="13" x14ac:dyDescent="0.15">
      <c r="B1829" s="3"/>
      <c r="C1829" s="3"/>
      <c r="D1829" s="3"/>
    </row>
    <row r="1830" spans="2:4" ht="13" x14ac:dyDescent="0.15">
      <c r="B1830" s="3"/>
      <c r="C1830" s="3"/>
      <c r="D1830" s="3"/>
    </row>
    <row r="1831" spans="2:4" ht="13" x14ac:dyDescent="0.15">
      <c r="B1831" s="3"/>
      <c r="C1831" s="3"/>
      <c r="D1831" s="3"/>
    </row>
    <row r="1832" spans="2:4" ht="13" x14ac:dyDescent="0.15">
      <c r="B1832" s="3"/>
      <c r="C1832" s="3"/>
      <c r="D1832" s="3"/>
    </row>
    <row r="1833" spans="2:4" ht="13" x14ac:dyDescent="0.15">
      <c r="B1833" s="3"/>
      <c r="C1833" s="3"/>
      <c r="D1833" s="3"/>
    </row>
    <row r="1834" spans="2:4" ht="13" x14ac:dyDescent="0.15">
      <c r="B1834" s="3"/>
      <c r="C1834" s="3"/>
      <c r="D1834" s="3"/>
    </row>
    <row r="1835" spans="2:4" ht="13" x14ac:dyDescent="0.15">
      <c r="B1835" s="3"/>
      <c r="C1835" s="3"/>
      <c r="D1835" s="3"/>
    </row>
    <row r="1836" spans="2:4" ht="13" x14ac:dyDescent="0.15">
      <c r="B1836" s="3"/>
      <c r="C1836" s="3"/>
      <c r="D1836" s="3"/>
    </row>
    <row r="1837" spans="2:4" ht="13" x14ac:dyDescent="0.15">
      <c r="B1837" s="3"/>
      <c r="C1837" s="3"/>
      <c r="D1837" s="3"/>
    </row>
    <row r="1838" spans="2:4" ht="13" x14ac:dyDescent="0.15">
      <c r="B1838" s="3"/>
      <c r="C1838" s="3"/>
      <c r="D1838" s="3"/>
    </row>
    <row r="1839" spans="2:4" ht="13" x14ac:dyDescent="0.15">
      <c r="B1839" s="3"/>
      <c r="C1839" s="3"/>
      <c r="D1839" s="3"/>
    </row>
    <row r="1840" spans="2:4" ht="13" x14ac:dyDescent="0.15">
      <c r="B1840" s="3"/>
      <c r="C1840" s="3"/>
      <c r="D1840" s="3"/>
    </row>
    <row r="1841" spans="2:4" ht="13" x14ac:dyDescent="0.15">
      <c r="B1841" s="3"/>
      <c r="C1841" s="3"/>
      <c r="D1841" s="3"/>
    </row>
    <row r="1842" spans="2:4" ht="13" x14ac:dyDescent="0.15">
      <c r="B1842" s="3"/>
      <c r="C1842" s="3"/>
      <c r="D1842" s="3"/>
    </row>
    <row r="1843" spans="2:4" ht="13" x14ac:dyDescent="0.15">
      <c r="B1843" s="3"/>
      <c r="C1843" s="3"/>
      <c r="D1843" s="3"/>
    </row>
    <row r="1844" spans="2:4" ht="13" x14ac:dyDescent="0.15">
      <c r="B1844" s="3"/>
      <c r="C1844" s="3"/>
      <c r="D1844" s="3"/>
    </row>
    <row r="1845" spans="2:4" ht="13" x14ac:dyDescent="0.15">
      <c r="B1845" s="3"/>
      <c r="C1845" s="3"/>
      <c r="D1845" s="3"/>
    </row>
    <row r="1846" spans="2:4" ht="13" x14ac:dyDescent="0.15">
      <c r="B1846" s="3"/>
      <c r="C1846" s="3"/>
      <c r="D1846" s="3"/>
    </row>
    <row r="1847" spans="2:4" ht="13" x14ac:dyDescent="0.15">
      <c r="B1847" s="3"/>
      <c r="C1847" s="3"/>
      <c r="D1847" s="3"/>
    </row>
    <row r="1848" spans="2:4" ht="13" x14ac:dyDescent="0.15">
      <c r="B1848" s="3"/>
      <c r="C1848" s="3"/>
      <c r="D1848" s="3"/>
    </row>
    <row r="1849" spans="2:4" ht="13" x14ac:dyDescent="0.15">
      <c r="B1849" s="3"/>
      <c r="C1849" s="3"/>
      <c r="D1849" s="3"/>
    </row>
    <row r="1850" spans="2:4" ht="13" x14ac:dyDescent="0.15">
      <c r="B1850" s="3"/>
      <c r="C1850" s="3"/>
      <c r="D1850" s="3"/>
    </row>
    <row r="1851" spans="2:4" ht="13" x14ac:dyDescent="0.15">
      <c r="B1851" s="3"/>
      <c r="C1851" s="3"/>
      <c r="D1851" s="3"/>
    </row>
    <row r="1852" spans="2:4" ht="13" x14ac:dyDescent="0.15">
      <c r="B1852" s="3"/>
      <c r="C1852" s="3"/>
      <c r="D1852" s="3"/>
    </row>
    <row r="1853" spans="2:4" ht="13" x14ac:dyDescent="0.15">
      <c r="B1853" s="3"/>
      <c r="C1853" s="3"/>
      <c r="D1853" s="3"/>
    </row>
    <row r="1854" spans="2:4" ht="13" x14ac:dyDescent="0.15">
      <c r="B1854" s="3"/>
      <c r="C1854" s="3"/>
      <c r="D1854" s="3"/>
    </row>
    <row r="1855" spans="2:4" ht="13" x14ac:dyDescent="0.15">
      <c r="B1855" s="3"/>
      <c r="C1855" s="3"/>
      <c r="D1855" s="3"/>
    </row>
    <row r="1856" spans="2:4" ht="13" x14ac:dyDescent="0.15">
      <c r="B1856" s="3"/>
      <c r="C1856" s="3"/>
      <c r="D1856" s="3"/>
    </row>
    <row r="1857" spans="2:4" ht="13" x14ac:dyDescent="0.15">
      <c r="B1857" s="3"/>
      <c r="C1857" s="3"/>
      <c r="D1857" s="3"/>
    </row>
    <row r="1858" spans="2:4" ht="13" x14ac:dyDescent="0.15">
      <c r="B1858" s="3"/>
      <c r="C1858" s="3"/>
      <c r="D1858" s="3"/>
    </row>
    <row r="1859" spans="2:4" ht="13" x14ac:dyDescent="0.15">
      <c r="B1859" s="3"/>
      <c r="C1859" s="3"/>
      <c r="D1859" s="3"/>
    </row>
    <row r="1860" spans="2:4" ht="13" x14ac:dyDescent="0.15">
      <c r="B1860" s="3"/>
      <c r="C1860" s="3"/>
      <c r="D1860" s="3"/>
    </row>
    <row r="1861" spans="2:4" ht="13" x14ac:dyDescent="0.15">
      <c r="B1861" s="3"/>
      <c r="C1861" s="3"/>
      <c r="D1861" s="3"/>
    </row>
    <row r="1862" spans="2:4" ht="13" x14ac:dyDescent="0.15">
      <c r="B1862" s="3"/>
      <c r="C1862" s="3"/>
      <c r="D1862" s="3"/>
    </row>
    <row r="1863" spans="2:4" ht="13" x14ac:dyDescent="0.15">
      <c r="B1863" s="3"/>
      <c r="C1863" s="3"/>
      <c r="D1863" s="3"/>
    </row>
    <row r="1864" spans="2:4" ht="13" x14ac:dyDescent="0.15">
      <c r="B1864" s="3"/>
      <c r="C1864" s="3"/>
      <c r="D1864" s="3"/>
    </row>
    <row r="1865" spans="2:4" ht="13" x14ac:dyDescent="0.15">
      <c r="B1865" s="3"/>
      <c r="C1865" s="3"/>
      <c r="D1865" s="3"/>
    </row>
    <row r="1866" spans="2:4" ht="13" x14ac:dyDescent="0.15">
      <c r="B1866" s="3"/>
      <c r="C1866" s="3"/>
      <c r="D1866" s="3"/>
    </row>
    <row r="1867" spans="2:4" ht="13" x14ac:dyDescent="0.15">
      <c r="B1867" s="3"/>
      <c r="C1867" s="3"/>
      <c r="D1867" s="3"/>
    </row>
    <row r="1868" spans="2:4" ht="13" x14ac:dyDescent="0.15">
      <c r="B1868" s="3"/>
      <c r="C1868" s="3"/>
      <c r="D1868" s="3"/>
    </row>
    <row r="1869" spans="2:4" ht="13" x14ac:dyDescent="0.15">
      <c r="B1869" s="3"/>
      <c r="C1869" s="3"/>
      <c r="D1869" s="3"/>
    </row>
    <row r="1870" spans="2:4" ht="13" x14ac:dyDescent="0.15">
      <c r="B1870" s="3"/>
      <c r="C1870" s="3"/>
      <c r="D1870" s="3"/>
    </row>
    <row r="1871" spans="2:4" ht="13" x14ac:dyDescent="0.15">
      <c r="B1871" s="3"/>
      <c r="C1871" s="3"/>
      <c r="D1871" s="3"/>
    </row>
    <row r="1872" spans="2:4" ht="13" x14ac:dyDescent="0.15">
      <c r="B1872" s="3"/>
      <c r="C1872" s="3"/>
      <c r="D1872" s="3"/>
    </row>
    <row r="1873" spans="2:4" ht="13" x14ac:dyDescent="0.15">
      <c r="B1873" s="3"/>
      <c r="C1873" s="3"/>
      <c r="D1873" s="3"/>
    </row>
    <row r="1874" spans="2:4" ht="13" x14ac:dyDescent="0.15">
      <c r="B1874" s="3"/>
      <c r="C1874" s="3"/>
      <c r="D1874" s="3"/>
    </row>
    <row r="1875" spans="2:4" ht="13" x14ac:dyDescent="0.15">
      <c r="B1875" s="3"/>
      <c r="C1875" s="3"/>
      <c r="D1875" s="3"/>
    </row>
    <row r="1876" spans="2:4" ht="13" x14ac:dyDescent="0.15">
      <c r="B1876" s="3"/>
      <c r="C1876" s="3"/>
      <c r="D1876" s="3"/>
    </row>
    <row r="1877" spans="2:4" ht="13" x14ac:dyDescent="0.15">
      <c r="B1877" s="3"/>
      <c r="C1877" s="3"/>
      <c r="D1877" s="3"/>
    </row>
    <row r="1878" spans="2:4" ht="13" x14ac:dyDescent="0.15">
      <c r="B1878" s="3"/>
      <c r="C1878" s="3"/>
      <c r="D1878" s="3"/>
    </row>
    <row r="1879" spans="2:4" ht="13" x14ac:dyDescent="0.15">
      <c r="B1879" s="3"/>
      <c r="C1879" s="3"/>
      <c r="D1879" s="3"/>
    </row>
    <row r="1880" spans="2:4" ht="13" x14ac:dyDescent="0.15">
      <c r="B1880" s="3"/>
      <c r="C1880" s="3"/>
      <c r="D1880" s="3"/>
    </row>
    <row r="1881" spans="2:4" ht="13" x14ac:dyDescent="0.15">
      <c r="B1881" s="3"/>
      <c r="C1881" s="3"/>
      <c r="D1881" s="3"/>
    </row>
    <row r="1882" spans="2:4" ht="13" x14ac:dyDescent="0.15">
      <c r="B1882" s="3"/>
      <c r="C1882" s="3"/>
      <c r="D1882" s="3"/>
    </row>
    <row r="1883" spans="2:4" ht="13" x14ac:dyDescent="0.15">
      <c r="B1883" s="3"/>
      <c r="C1883" s="3"/>
      <c r="D1883" s="3"/>
    </row>
    <row r="1884" spans="2:4" ht="13" x14ac:dyDescent="0.15">
      <c r="B1884" s="3"/>
      <c r="C1884" s="3"/>
      <c r="D1884" s="3"/>
    </row>
    <row r="1885" spans="2:4" ht="13" x14ac:dyDescent="0.15">
      <c r="B1885" s="3"/>
      <c r="C1885" s="3"/>
      <c r="D1885" s="3"/>
    </row>
    <row r="1886" spans="2:4" ht="13" x14ac:dyDescent="0.15">
      <c r="B1886" s="3"/>
      <c r="C1886" s="3"/>
      <c r="D1886" s="3"/>
    </row>
    <row r="1887" spans="2:4" ht="13" x14ac:dyDescent="0.15">
      <c r="B1887" s="3"/>
      <c r="C1887" s="3"/>
      <c r="D1887" s="3"/>
    </row>
    <row r="1888" spans="2:4" ht="13" x14ac:dyDescent="0.15">
      <c r="B1888" s="3"/>
      <c r="C1888" s="3"/>
      <c r="D1888" s="3"/>
    </row>
    <row r="1889" spans="2:4" ht="13" x14ac:dyDescent="0.15">
      <c r="B1889" s="3"/>
      <c r="C1889" s="3"/>
      <c r="D1889" s="3"/>
    </row>
    <row r="1890" spans="2:4" ht="13" x14ac:dyDescent="0.15">
      <c r="B1890" s="3"/>
      <c r="C1890" s="3"/>
      <c r="D1890" s="3"/>
    </row>
    <row r="1891" spans="2:4" ht="13" x14ac:dyDescent="0.15">
      <c r="B1891" s="3"/>
      <c r="C1891" s="3"/>
      <c r="D1891" s="3"/>
    </row>
    <row r="1892" spans="2:4" ht="13" x14ac:dyDescent="0.15">
      <c r="B1892" s="3"/>
      <c r="C1892" s="3"/>
      <c r="D1892" s="3"/>
    </row>
    <row r="1893" spans="2:4" ht="13" x14ac:dyDescent="0.15">
      <c r="B1893" s="3"/>
      <c r="C1893" s="3"/>
      <c r="D1893" s="3"/>
    </row>
    <row r="1894" spans="2:4" ht="13" x14ac:dyDescent="0.15">
      <c r="B1894" s="3"/>
      <c r="C1894" s="3"/>
      <c r="D1894" s="3"/>
    </row>
    <row r="1895" spans="2:4" ht="13" x14ac:dyDescent="0.15">
      <c r="B1895" s="3"/>
      <c r="C1895" s="3"/>
      <c r="D1895" s="3"/>
    </row>
    <row r="1896" spans="2:4" ht="13" x14ac:dyDescent="0.15">
      <c r="B1896" s="3"/>
      <c r="C1896" s="3"/>
      <c r="D1896" s="3"/>
    </row>
    <row r="1897" spans="2:4" ht="13" x14ac:dyDescent="0.15">
      <c r="B1897" s="3"/>
      <c r="C1897" s="3"/>
      <c r="D1897" s="3"/>
    </row>
    <row r="1898" spans="2:4" ht="13" x14ac:dyDescent="0.15">
      <c r="B1898" s="3"/>
      <c r="C1898" s="3"/>
      <c r="D1898" s="3"/>
    </row>
    <row r="1899" spans="2:4" ht="13" x14ac:dyDescent="0.15">
      <c r="B1899" s="3"/>
      <c r="C1899" s="3"/>
      <c r="D1899" s="3"/>
    </row>
    <row r="1900" spans="2:4" ht="13" x14ac:dyDescent="0.15">
      <c r="B1900" s="3"/>
      <c r="C1900" s="3"/>
      <c r="D1900" s="3"/>
    </row>
    <row r="1901" spans="2:4" ht="13" x14ac:dyDescent="0.15">
      <c r="B1901" s="3"/>
      <c r="C1901" s="3"/>
      <c r="D1901" s="3"/>
    </row>
    <row r="1902" spans="2:4" ht="13" x14ac:dyDescent="0.15">
      <c r="B1902" s="3"/>
      <c r="C1902" s="3"/>
      <c r="D1902" s="3"/>
    </row>
    <row r="1903" spans="2:4" ht="13" x14ac:dyDescent="0.15">
      <c r="B1903" s="3"/>
      <c r="C1903" s="3"/>
      <c r="D1903" s="3"/>
    </row>
    <row r="1904" spans="2:4" ht="13" x14ac:dyDescent="0.15">
      <c r="B1904" s="3"/>
      <c r="C1904" s="3"/>
      <c r="D1904" s="3"/>
    </row>
    <row r="1905" spans="2:4" ht="13" x14ac:dyDescent="0.15">
      <c r="B1905" s="3"/>
      <c r="C1905" s="3"/>
      <c r="D1905" s="3"/>
    </row>
    <row r="1906" spans="2:4" ht="13" x14ac:dyDescent="0.15">
      <c r="B1906" s="3"/>
      <c r="C1906" s="3"/>
      <c r="D1906" s="3"/>
    </row>
    <row r="1907" spans="2:4" ht="13" x14ac:dyDescent="0.15">
      <c r="B1907" s="3"/>
      <c r="C1907" s="3"/>
      <c r="D1907" s="3"/>
    </row>
    <row r="1908" spans="2:4" ht="13" x14ac:dyDescent="0.15">
      <c r="B1908" s="3"/>
      <c r="C1908" s="3"/>
      <c r="D1908" s="3"/>
    </row>
    <row r="1909" spans="2:4" ht="13" x14ac:dyDescent="0.15">
      <c r="B1909" s="3"/>
      <c r="C1909" s="3"/>
      <c r="D1909" s="3"/>
    </row>
    <row r="1910" spans="2:4" ht="13" x14ac:dyDescent="0.15">
      <c r="B1910" s="3"/>
      <c r="C1910" s="3"/>
      <c r="D1910" s="3"/>
    </row>
    <row r="1911" spans="2:4" ht="13" x14ac:dyDescent="0.15">
      <c r="B1911" s="3"/>
      <c r="C1911" s="3"/>
      <c r="D1911" s="3"/>
    </row>
    <row r="1912" spans="2:4" ht="13" x14ac:dyDescent="0.15">
      <c r="B1912" s="3"/>
      <c r="C1912" s="3"/>
      <c r="D1912" s="3"/>
    </row>
    <row r="1913" spans="2:4" ht="13" x14ac:dyDescent="0.15">
      <c r="B1913" s="3"/>
      <c r="C1913" s="3"/>
      <c r="D1913" s="3"/>
    </row>
    <row r="1914" spans="2:4" ht="13" x14ac:dyDescent="0.15">
      <c r="B1914" s="3"/>
      <c r="C1914" s="3"/>
      <c r="D1914" s="3"/>
    </row>
    <row r="1915" spans="2:4" ht="13" x14ac:dyDescent="0.15">
      <c r="B1915" s="3"/>
      <c r="C1915" s="3"/>
      <c r="D1915" s="3"/>
    </row>
    <row r="1916" spans="2:4" ht="13" x14ac:dyDescent="0.15">
      <c r="B1916" s="3"/>
      <c r="C1916" s="3"/>
      <c r="D1916" s="3"/>
    </row>
    <row r="1917" spans="2:4" ht="13" x14ac:dyDescent="0.15">
      <c r="B1917" s="3"/>
      <c r="C1917" s="3"/>
      <c r="D1917" s="3"/>
    </row>
    <row r="1918" spans="2:4" ht="13" x14ac:dyDescent="0.15">
      <c r="B1918" s="3"/>
      <c r="C1918" s="3"/>
      <c r="D1918" s="3"/>
    </row>
    <row r="1919" spans="2:4" ht="13" x14ac:dyDescent="0.15">
      <c r="B1919" s="3"/>
      <c r="C1919" s="3"/>
      <c r="D1919" s="3"/>
    </row>
    <row r="1920" spans="2:4" ht="13" x14ac:dyDescent="0.15">
      <c r="B1920" s="3"/>
      <c r="C1920" s="3"/>
      <c r="D1920" s="3"/>
    </row>
    <row r="1921" spans="2:4" ht="13" x14ac:dyDescent="0.15">
      <c r="B1921" s="3"/>
      <c r="C1921" s="3"/>
      <c r="D1921" s="3"/>
    </row>
    <row r="1922" spans="2:4" ht="13" x14ac:dyDescent="0.15">
      <c r="B1922" s="3"/>
      <c r="C1922" s="3"/>
      <c r="D1922" s="3"/>
    </row>
    <row r="1923" spans="2:4" ht="13" x14ac:dyDescent="0.15">
      <c r="B1923" s="3"/>
      <c r="C1923" s="3"/>
      <c r="D1923" s="3"/>
    </row>
    <row r="1924" spans="2:4" ht="13" x14ac:dyDescent="0.15">
      <c r="B1924" s="3"/>
      <c r="C1924" s="3"/>
      <c r="D1924" s="3"/>
    </row>
    <row r="1925" spans="2:4" ht="13" x14ac:dyDescent="0.15">
      <c r="B1925" s="3"/>
      <c r="C1925" s="3"/>
      <c r="D1925" s="3"/>
    </row>
    <row r="1926" spans="2:4" ht="13" x14ac:dyDescent="0.15">
      <c r="B1926" s="3"/>
      <c r="C1926" s="3"/>
      <c r="D1926" s="3"/>
    </row>
    <row r="1927" spans="2:4" ht="13" x14ac:dyDescent="0.15">
      <c r="B1927" s="3"/>
      <c r="C1927" s="3"/>
      <c r="D1927" s="3"/>
    </row>
    <row r="1928" spans="2:4" ht="13" x14ac:dyDescent="0.15">
      <c r="B1928" s="3"/>
      <c r="C1928" s="3"/>
      <c r="D1928" s="3"/>
    </row>
    <row r="1929" spans="2:4" ht="13" x14ac:dyDescent="0.15">
      <c r="B1929" s="3"/>
      <c r="C1929" s="3"/>
      <c r="D1929" s="3"/>
    </row>
    <row r="1930" spans="2:4" ht="13" x14ac:dyDescent="0.15">
      <c r="B1930" s="3"/>
      <c r="C1930" s="3"/>
      <c r="D1930" s="3"/>
    </row>
    <row r="1931" spans="2:4" ht="13" x14ac:dyDescent="0.15">
      <c r="B1931" s="3"/>
      <c r="C1931" s="3"/>
      <c r="D1931" s="3"/>
    </row>
    <row r="1932" spans="2:4" ht="13" x14ac:dyDescent="0.15">
      <c r="B1932" s="3"/>
      <c r="C1932" s="3"/>
      <c r="D1932" s="3"/>
    </row>
    <row r="1933" spans="2:4" ht="13" x14ac:dyDescent="0.15">
      <c r="B1933" s="3"/>
      <c r="C1933" s="3"/>
      <c r="D1933" s="3"/>
    </row>
    <row r="1934" spans="2:4" ht="13" x14ac:dyDescent="0.15">
      <c r="B1934" s="3"/>
      <c r="C1934" s="3"/>
      <c r="D1934" s="3"/>
    </row>
    <row r="1935" spans="2:4" ht="13" x14ac:dyDescent="0.15">
      <c r="B1935" s="3"/>
      <c r="C1935" s="3"/>
      <c r="D1935" s="3"/>
    </row>
    <row r="1936" spans="2:4" ht="13" x14ac:dyDescent="0.15">
      <c r="B1936" s="3"/>
      <c r="C1936" s="3"/>
      <c r="D1936" s="3"/>
    </row>
    <row r="1937" spans="2:4" ht="13" x14ac:dyDescent="0.15">
      <c r="B1937" s="3"/>
      <c r="C1937" s="3"/>
      <c r="D1937" s="3"/>
    </row>
    <row r="1938" spans="2:4" ht="13" x14ac:dyDescent="0.15">
      <c r="B1938" s="3"/>
      <c r="C1938" s="3"/>
      <c r="D1938" s="3"/>
    </row>
    <row r="1939" spans="2:4" ht="13" x14ac:dyDescent="0.15">
      <c r="B1939" s="3"/>
      <c r="C1939" s="3"/>
      <c r="D1939" s="3"/>
    </row>
    <row r="1940" spans="2:4" ht="13" x14ac:dyDescent="0.15">
      <c r="B1940" s="3"/>
      <c r="C1940" s="3"/>
      <c r="D1940" s="3"/>
    </row>
    <row r="1941" spans="2:4" ht="13" x14ac:dyDescent="0.15">
      <c r="B1941" s="3"/>
      <c r="C1941" s="3"/>
      <c r="D1941" s="3"/>
    </row>
    <row r="1942" spans="2:4" ht="13" x14ac:dyDescent="0.15">
      <c r="B1942" s="3"/>
      <c r="C1942" s="3"/>
      <c r="D1942" s="3"/>
    </row>
    <row r="1943" spans="2:4" ht="13" x14ac:dyDescent="0.15">
      <c r="B1943" s="3"/>
      <c r="C1943" s="3"/>
      <c r="D1943" s="3"/>
    </row>
    <row r="1944" spans="2:4" ht="13" x14ac:dyDescent="0.15">
      <c r="B1944" s="3"/>
      <c r="C1944" s="3"/>
      <c r="D1944" s="3"/>
    </row>
    <row r="1945" spans="2:4" ht="13" x14ac:dyDescent="0.15">
      <c r="B1945" s="3"/>
      <c r="C1945" s="3"/>
      <c r="D1945" s="3"/>
    </row>
    <row r="1946" spans="2:4" ht="13" x14ac:dyDescent="0.15">
      <c r="B1946" s="3"/>
      <c r="C1946" s="3"/>
      <c r="D1946" s="3"/>
    </row>
    <row r="1947" spans="2:4" ht="13" x14ac:dyDescent="0.15">
      <c r="B1947" s="3"/>
      <c r="C1947" s="3"/>
      <c r="D1947" s="3"/>
    </row>
    <row r="1948" spans="2:4" ht="13" x14ac:dyDescent="0.15">
      <c r="B1948" s="3"/>
      <c r="C1948" s="3"/>
      <c r="D1948" s="3"/>
    </row>
    <row r="1949" spans="2:4" ht="13" x14ac:dyDescent="0.15">
      <c r="B1949" s="3"/>
      <c r="C1949" s="3"/>
      <c r="D1949" s="3"/>
    </row>
    <row r="1950" spans="2:4" ht="13" x14ac:dyDescent="0.15">
      <c r="B1950" s="3"/>
      <c r="C1950" s="3"/>
      <c r="D1950" s="3"/>
    </row>
    <row r="1951" spans="2:4" ht="13" x14ac:dyDescent="0.15">
      <c r="B1951" s="3"/>
      <c r="C1951" s="3"/>
      <c r="D1951" s="3"/>
    </row>
    <row r="1952" spans="2:4" ht="13" x14ac:dyDescent="0.15">
      <c r="B1952" s="3"/>
      <c r="C1952" s="3"/>
      <c r="D1952" s="3"/>
    </row>
    <row r="1953" spans="2:4" ht="13" x14ac:dyDescent="0.15">
      <c r="B1953" s="3"/>
      <c r="C1953" s="3"/>
      <c r="D1953" s="3"/>
    </row>
    <row r="1954" spans="2:4" ht="13" x14ac:dyDescent="0.15">
      <c r="B1954" s="3"/>
      <c r="C1954" s="3"/>
      <c r="D1954" s="3"/>
    </row>
    <row r="1955" spans="2:4" ht="13" x14ac:dyDescent="0.15">
      <c r="B1955" s="3"/>
      <c r="C1955" s="3"/>
      <c r="D1955" s="3"/>
    </row>
    <row r="1956" spans="2:4" ht="13" x14ac:dyDescent="0.15">
      <c r="B1956" s="3"/>
      <c r="C1956" s="3"/>
      <c r="D1956" s="3"/>
    </row>
    <row r="1957" spans="2:4" ht="13" x14ac:dyDescent="0.15">
      <c r="B1957" s="3"/>
      <c r="C1957" s="3"/>
      <c r="D1957" s="3"/>
    </row>
    <row r="1958" spans="2:4" ht="13" x14ac:dyDescent="0.15">
      <c r="B1958" s="3"/>
      <c r="C1958" s="3"/>
      <c r="D1958" s="3"/>
    </row>
    <row r="1959" spans="2:4" ht="13" x14ac:dyDescent="0.15">
      <c r="B1959" s="3"/>
      <c r="C1959" s="3"/>
      <c r="D1959" s="3"/>
    </row>
    <row r="1960" spans="2:4" ht="13" x14ac:dyDescent="0.15">
      <c r="B1960" s="3"/>
      <c r="C1960" s="3"/>
      <c r="D1960" s="3"/>
    </row>
    <row r="1961" spans="2:4" ht="13" x14ac:dyDescent="0.15">
      <c r="B1961" s="3"/>
      <c r="C1961" s="3"/>
      <c r="D1961" s="3"/>
    </row>
    <row r="1962" spans="2:4" ht="13" x14ac:dyDescent="0.15">
      <c r="B1962" s="3"/>
      <c r="C1962" s="3"/>
      <c r="D1962" s="3"/>
    </row>
    <row r="1963" spans="2:4" ht="13" x14ac:dyDescent="0.15">
      <c r="B1963" s="3"/>
      <c r="C1963" s="3"/>
      <c r="D1963" s="3"/>
    </row>
    <row r="1964" spans="2:4" ht="13" x14ac:dyDescent="0.15">
      <c r="B1964" s="3"/>
      <c r="C1964" s="3"/>
      <c r="D1964" s="3"/>
    </row>
    <row r="1965" spans="2:4" ht="13" x14ac:dyDescent="0.15">
      <c r="B1965" s="3"/>
      <c r="C1965" s="3"/>
      <c r="D1965" s="3"/>
    </row>
    <row r="1966" spans="2:4" ht="13" x14ac:dyDescent="0.15">
      <c r="B1966" s="3"/>
      <c r="C1966" s="3"/>
      <c r="D1966" s="3"/>
    </row>
    <row r="1967" spans="2:4" ht="13" x14ac:dyDescent="0.15">
      <c r="B1967" s="3"/>
      <c r="C1967" s="3"/>
      <c r="D1967" s="3"/>
    </row>
    <row r="1968" spans="2:4" ht="13" x14ac:dyDescent="0.15">
      <c r="B1968" s="3"/>
      <c r="C1968" s="3"/>
      <c r="D1968" s="3"/>
    </row>
    <row r="1969" spans="2:4" ht="13" x14ac:dyDescent="0.15">
      <c r="B1969" s="3"/>
      <c r="C1969" s="3"/>
      <c r="D1969" s="3"/>
    </row>
    <row r="1970" spans="2:4" ht="13" x14ac:dyDescent="0.15">
      <c r="B1970" s="3"/>
      <c r="C1970" s="3"/>
      <c r="D1970" s="3"/>
    </row>
    <row r="1971" spans="2:4" ht="13" x14ac:dyDescent="0.15">
      <c r="B1971" s="3"/>
      <c r="C1971" s="3"/>
      <c r="D1971" s="3"/>
    </row>
    <row r="1972" spans="2:4" ht="13" x14ac:dyDescent="0.15">
      <c r="B1972" s="3"/>
      <c r="C1972" s="3"/>
      <c r="D1972" s="3"/>
    </row>
    <row r="1973" spans="2:4" ht="13" x14ac:dyDescent="0.15">
      <c r="B1973" s="3"/>
      <c r="C1973" s="3"/>
      <c r="D1973" s="3"/>
    </row>
    <row r="1974" spans="2:4" ht="13" x14ac:dyDescent="0.15">
      <c r="B1974" s="3"/>
      <c r="C1974" s="3"/>
      <c r="D1974" s="3"/>
    </row>
    <row r="1975" spans="2:4" ht="13" x14ac:dyDescent="0.15">
      <c r="B1975" s="3"/>
      <c r="C1975" s="3"/>
      <c r="D1975" s="3"/>
    </row>
    <row r="1976" spans="2:4" ht="13" x14ac:dyDescent="0.15">
      <c r="B1976" s="3"/>
      <c r="C1976" s="3"/>
      <c r="D1976" s="3"/>
    </row>
    <row r="1977" spans="2:4" ht="13" x14ac:dyDescent="0.15">
      <c r="B1977" s="3"/>
      <c r="C1977" s="3"/>
      <c r="D1977" s="3"/>
    </row>
    <row r="1978" spans="2:4" ht="13" x14ac:dyDescent="0.15">
      <c r="B1978" s="3"/>
      <c r="C1978" s="3"/>
      <c r="D1978" s="3"/>
    </row>
    <row r="1979" spans="2:4" ht="13" x14ac:dyDescent="0.15">
      <c r="B1979" s="3"/>
      <c r="C1979" s="3"/>
      <c r="D1979" s="3"/>
    </row>
    <row r="1980" spans="2:4" ht="13" x14ac:dyDescent="0.15">
      <c r="B1980" s="3"/>
      <c r="C1980" s="3"/>
      <c r="D1980" s="3"/>
    </row>
    <row r="1981" spans="2:4" ht="13" x14ac:dyDescent="0.15">
      <c r="B1981" s="3"/>
      <c r="C1981" s="3"/>
      <c r="D1981" s="3"/>
    </row>
    <row r="1982" spans="2:4" ht="13" x14ac:dyDescent="0.15">
      <c r="B1982" s="3"/>
      <c r="C1982" s="3"/>
      <c r="D1982" s="3"/>
    </row>
    <row r="1983" spans="2:4" ht="13" x14ac:dyDescent="0.15">
      <c r="B1983" s="3"/>
      <c r="C1983" s="3"/>
      <c r="D1983" s="3"/>
    </row>
    <row r="1984" spans="2:4" ht="13" x14ac:dyDescent="0.15">
      <c r="B1984" s="3"/>
      <c r="C1984" s="3"/>
      <c r="D1984" s="3"/>
    </row>
    <row r="1985" spans="2:4" ht="13" x14ac:dyDescent="0.15">
      <c r="B1985" s="3"/>
      <c r="C1985" s="3"/>
      <c r="D1985" s="3"/>
    </row>
    <row r="1986" spans="2:4" ht="13" x14ac:dyDescent="0.15">
      <c r="B1986" s="3"/>
      <c r="C1986" s="3"/>
      <c r="D1986" s="3"/>
    </row>
    <row r="1987" spans="2:4" ht="13" x14ac:dyDescent="0.15">
      <c r="B1987" s="3"/>
      <c r="C1987" s="3"/>
      <c r="D1987" s="3"/>
    </row>
    <row r="1988" spans="2:4" ht="13" x14ac:dyDescent="0.15">
      <c r="B1988" s="3"/>
      <c r="C1988" s="3"/>
      <c r="D1988" s="3"/>
    </row>
    <row r="1989" spans="2:4" ht="13" x14ac:dyDescent="0.15">
      <c r="B1989" s="3"/>
      <c r="C1989" s="3"/>
      <c r="D1989" s="3"/>
    </row>
    <row r="1990" spans="2:4" ht="13" x14ac:dyDescent="0.15">
      <c r="B1990" s="3"/>
      <c r="C1990" s="3"/>
      <c r="D1990" s="3"/>
    </row>
    <row r="1991" spans="2:4" ht="13" x14ac:dyDescent="0.15">
      <c r="B1991" s="3"/>
      <c r="C1991" s="3"/>
      <c r="D1991" s="3"/>
    </row>
    <row r="1992" spans="2:4" ht="13" x14ac:dyDescent="0.15">
      <c r="B1992" s="3"/>
      <c r="C1992" s="3"/>
      <c r="D1992" s="3"/>
    </row>
    <row r="1993" spans="2:4" ht="13" x14ac:dyDescent="0.15">
      <c r="B1993" s="3"/>
      <c r="C1993" s="3"/>
      <c r="D1993" s="3"/>
    </row>
    <row r="1994" spans="2:4" ht="13" x14ac:dyDescent="0.15">
      <c r="B1994" s="3"/>
      <c r="C1994" s="3"/>
      <c r="D1994" s="3"/>
    </row>
    <row r="1995" spans="2:4" ht="13" x14ac:dyDescent="0.15">
      <c r="B1995" s="3"/>
      <c r="C1995" s="3"/>
      <c r="D1995" s="3"/>
    </row>
    <row r="1996" spans="2:4" ht="13" x14ac:dyDescent="0.15">
      <c r="B1996" s="3"/>
      <c r="C1996" s="3"/>
      <c r="D1996" s="3"/>
    </row>
    <row r="1997" spans="2:4" ht="13" x14ac:dyDescent="0.15">
      <c r="B1997" s="3"/>
      <c r="C1997" s="3"/>
      <c r="D1997" s="3"/>
    </row>
    <row r="1998" spans="2:4" ht="13" x14ac:dyDescent="0.15">
      <c r="B1998" s="3"/>
      <c r="C1998" s="3"/>
      <c r="D1998" s="3"/>
    </row>
    <row r="1999" spans="2:4" ht="13" x14ac:dyDescent="0.15">
      <c r="B1999" s="3"/>
      <c r="C1999" s="3"/>
      <c r="D1999" s="3"/>
    </row>
    <row r="2000" spans="2:4" ht="13" x14ac:dyDescent="0.15">
      <c r="B2000" s="3"/>
      <c r="C2000" s="3"/>
      <c r="D2000" s="3"/>
    </row>
    <row r="2001" spans="2:4" ht="13" x14ac:dyDescent="0.15">
      <c r="B2001" s="3"/>
      <c r="C2001" s="3"/>
      <c r="D2001" s="3"/>
    </row>
    <row r="2002" spans="2:4" ht="13" x14ac:dyDescent="0.15">
      <c r="B2002" s="3"/>
      <c r="C2002" s="3"/>
      <c r="D2002" s="3"/>
    </row>
    <row r="2003" spans="2:4" ht="13" x14ac:dyDescent="0.15">
      <c r="B2003" s="3"/>
      <c r="C2003" s="3"/>
      <c r="D2003" s="3"/>
    </row>
    <row r="2004" spans="2:4" ht="13" x14ac:dyDescent="0.15">
      <c r="B2004" s="3"/>
      <c r="C2004" s="3"/>
      <c r="D2004" s="3"/>
    </row>
    <row r="2005" spans="2:4" ht="13" x14ac:dyDescent="0.15">
      <c r="B2005" s="3"/>
      <c r="C2005" s="3"/>
      <c r="D2005" s="3"/>
    </row>
    <row r="2006" spans="2:4" ht="13" x14ac:dyDescent="0.15">
      <c r="B2006" s="3"/>
      <c r="C2006" s="3"/>
      <c r="D2006" s="3"/>
    </row>
    <row r="2007" spans="2:4" ht="13" x14ac:dyDescent="0.15">
      <c r="B2007" s="3"/>
      <c r="C2007" s="3"/>
      <c r="D2007" s="3"/>
    </row>
    <row r="2008" spans="2:4" ht="13" x14ac:dyDescent="0.15">
      <c r="B2008" s="3"/>
      <c r="C2008" s="3"/>
      <c r="D2008" s="3"/>
    </row>
    <row r="2009" spans="2:4" ht="13" x14ac:dyDescent="0.15">
      <c r="B2009" s="3"/>
      <c r="C2009" s="3"/>
      <c r="D2009" s="3"/>
    </row>
    <row r="2010" spans="2:4" ht="13" x14ac:dyDescent="0.15">
      <c r="B2010" s="3"/>
      <c r="C2010" s="3"/>
      <c r="D2010" s="3"/>
    </row>
    <row r="2011" spans="2:4" ht="13" x14ac:dyDescent="0.15">
      <c r="B2011" s="3"/>
      <c r="C2011" s="3"/>
      <c r="D2011" s="3"/>
    </row>
    <row r="2012" spans="2:4" ht="13" x14ac:dyDescent="0.15">
      <c r="B2012" s="3"/>
      <c r="C2012" s="3"/>
      <c r="D2012" s="3"/>
    </row>
    <row r="2013" spans="2:4" ht="13" x14ac:dyDescent="0.15">
      <c r="B2013" s="3"/>
      <c r="C2013" s="3"/>
      <c r="D2013" s="3"/>
    </row>
    <row r="2014" spans="2:4" ht="13" x14ac:dyDescent="0.15">
      <c r="B2014" s="3"/>
      <c r="C2014" s="3"/>
      <c r="D2014" s="3"/>
    </row>
    <row r="2015" spans="2:4" ht="13" x14ac:dyDescent="0.15">
      <c r="B2015" s="3"/>
      <c r="C2015" s="3"/>
      <c r="D2015" s="3"/>
    </row>
    <row r="2016" spans="2:4" ht="13" x14ac:dyDescent="0.15">
      <c r="B2016" s="3"/>
      <c r="C2016" s="3"/>
      <c r="D2016" s="3"/>
    </row>
    <row r="2017" spans="2:4" ht="13" x14ac:dyDescent="0.15">
      <c r="B2017" s="3"/>
      <c r="C2017" s="3"/>
      <c r="D2017" s="3"/>
    </row>
    <row r="2018" spans="2:4" ht="13" x14ac:dyDescent="0.15">
      <c r="B2018" s="3"/>
      <c r="C2018" s="3"/>
      <c r="D2018" s="3"/>
    </row>
    <row r="2019" spans="2:4" ht="13" x14ac:dyDescent="0.15">
      <c r="B2019" s="3"/>
      <c r="C2019" s="3"/>
      <c r="D2019" s="3"/>
    </row>
    <row r="2020" spans="2:4" ht="13" x14ac:dyDescent="0.15">
      <c r="B2020" s="3"/>
      <c r="C2020" s="3"/>
      <c r="D2020" s="3"/>
    </row>
    <row r="2021" spans="2:4" ht="13" x14ac:dyDescent="0.15">
      <c r="B2021" s="3"/>
      <c r="C2021" s="3"/>
      <c r="D2021" s="3"/>
    </row>
    <row r="2022" spans="2:4" ht="13" x14ac:dyDescent="0.15">
      <c r="B2022" s="3"/>
      <c r="C2022" s="3"/>
      <c r="D2022" s="3"/>
    </row>
    <row r="2023" spans="2:4" ht="13" x14ac:dyDescent="0.15">
      <c r="B2023" s="3"/>
      <c r="C2023" s="3"/>
      <c r="D2023" s="3"/>
    </row>
    <row r="2024" spans="2:4" ht="13" x14ac:dyDescent="0.15">
      <c r="B2024" s="3"/>
      <c r="C2024" s="3"/>
      <c r="D2024" s="3"/>
    </row>
    <row r="2025" spans="2:4" ht="13" x14ac:dyDescent="0.15">
      <c r="B2025" s="3"/>
      <c r="C2025" s="3"/>
      <c r="D2025" s="3"/>
    </row>
    <row r="2026" spans="2:4" ht="13" x14ac:dyDescent="0.15">
      <c r="B2026" s="3"/>
      <c r="C2026" s="3"/>
      <c r="D2026" s="3"/>
    </row>
    <row r="2027" spans="2:4" ht="13" x14ac:dyDescent="0.15">
      <c r="B2027" s="3"/>
      <c r="C2027" s="3"/>
      <c r="D2027" s="3"/>
    </row>
    <row r="2028" spans="2:4" ht="13" x14ac:dyDescent="0.15">
      <c r="B2028" s="3"/>
      <c r="C2028" s="3"/>
      <c r="D2028" s="3"/>
    </row>
    <row r="2029" spans="2:4" ht="13" x14ac:dyDescent="0.15">
      <c r="B2029" s="3"/>
      <c r="C2029" s="3"/>
      <c r="D2029" s="3"/>
    </row>
    <row r="2030" spans="2:4" ht="13" x14ac:dyDescent="0.15">
      <c r="B2030" s="3"/>
      <c r="C2030" s="3"/>
      <c r="D2030" s="3"/>
    </row>
    <row r="2031" spans="2:4" ht="13" x14ac:dyDescent="0.15">
      <c r="B2031" s="3"/>
      <c r="C2031" s="3"/>
      <c r="D2031" s="3"/>
    </row>
    <row r="2032" spans="2:4" ht="13" x14ac:dyDescent="0.15">
      <c r="B2032" s="3"/>
      <c r="C2032" s="3"/>
      <c r="D2032" s="3"/>
    </row>
    <row r="2033" spans="2:4" ht="13" x14ac:dyDescent="0.15">
      <c r="B2033" s="3"/>
      <c r="C2033" s="3"/>
      <c r="D2033" s="3"/>
    </row>
    <row r="2034" spans="2:4" ht="13" x14ac:dyDescent="0.15">
      <c r="B2034" s="3"/>
      <c r="C2034" s="3"/>
      <c r="D2034" s="3"/>
    </row>
    <row r="2035" spans="2:4" ht="13" x14ac:dyDescent="0.15">
      <c r="B2035" s="3"/>
      <c r="C2035" s="3"/>
      <c r="D2035" s="3"/>
    </row>
    <row r="2036" spans="2:4" ht="13" x14ac:dyDescent="0.15">
      <c r="B2036" s="3"/>
      <c r="C2036" s="3"/>
      <c r="D2036" s="3"/>
    </row>
    <row r="2037" spans="2:4" ht="13" x14ac:dyDescent="0.15">
      <c r="B2037" s="3"/>
      <c r="C2037" s="3"/>
      <c r="D2037" s="3"/>
    </row>
    <row r="2038" spans="2:4" ht="13" x14ac:dyDescent="0.15">
      <c r="B2038" s="3"/>
      <c r="C2038" s="3"/>
      <c r="D2038" s="3"/>
    </row>
    <row r="2039" spans="2:4" ht="13" x14ac:dyDescent="0.15">
      <c r="B2039" s="3"/>
      <c r="C2039" s="3"/>
      <c r="D2039" s="3"/>
    </row>
    <row r="2040" spans="2:4" ht="13" x14ac:dyDescent="0.15">
      <c r="B2040" s="3"/>
      <c r="C2040" s="3"/>
      <c r="D2040" s="3"/>
    </row>
    <row r="2041" spans="2:4" ht="13" x14ac:dyDescent="0.15">
      <c r="B2041" s="3"/>
      <c r="C2041" s="3"/>
      <c r="D2041" s="3"/>
    </row>
    <row r="2042" spans="2:4" ht="13" x14ac:dyDescent="0.15">
      <c r="B2042" s="3"/>
      <c r="C2042" s="3"/>
      <c r="D2042" s="3"/>
    </row>
    <row r="2043" spans="2:4" ht="13" x14ac:dyDescent="0.15">
      <c r="B2043" s="3"/>
      <c r="C2043" s="3"/>
      <c r="D2043" s="3"/>
    </row>
    <row r="2044" spans="2:4" ht="13" x14ac:dyDescent="0.15">
      <c r="B2044" s="3"/>
      <c r="C2044" s="3"/>
      <c r="D2044" s="3"/>
    </row>
    <row r="2045" spans="2:4" ht="13" x14ac:dyDescent="0.15">
      <c r="B2045" s="3"/>
      <c r="C2045" s="3"/>
      <c r="D2045" s="3"/>
    </row>
    <row r="2046" spans="2:4" ht="13" x14ac:dyDescent="0.15">
      <c r="B2046" s="3"/>
      <c r="C2046" s="3"/>
      <c r="D2046" s="3"/>
    </row>
    <row r="2047" spans="2:4" ht="13" x14ac:dyDescent="0.15">
      <c r="B2047" s="3"/>
      <c r="C2047" s="3"/>
      <c r="D2047" s="3"/>
    </row>
    <row r="2048" spans="2:4" ht="13" x14ac:dyDescent="0.15">
      <c r="B2048" s="3"/>
      <c r="C2048" s="3"/>
      <c r="D2048" s="3"/>
    </row>
    <row r="2049" spans="2:4" ht="13" x14ac:dyDescent="0.15">
      <c r="B2049" s="3"/>
      <c r="C2049" s="3"/>
      <c r="D2049" s="3"/>
    </row>
    <row r="2050" spans="2:4" ht="13" x14ac:dyDescent="0.15">
      <c r="B2050" s="3"/>
      <c r="C2050" s="3"/>
      <c r="D2050" s="3"/>
    </row>
    <row r="2051" spans="2:4" ht="13" x14ac:dyDescent="0.15">
      <c r="B2051" s="3"/>
      <c r="C2051" s="3"/>
      <c r="D2051" s="3"/>
    </row>
    <row r="2052" spans="2:4" ht="13" x14ac:dyDescent="0.15">
      <c r="B2052" s="3"/>
      <c r="C2052" s="3"/>
      <c r="D2052" s="3"/>
    </row>
    <row r="2053" spans="2:4" ht="13" x14ac:dyDescent="0.15">
      <c r="B2053" s="3"/>
      <c r="C2053" s="3"/>
      <c r="D2053" s="3"/>
    </row>
    <row r="2054" spans="2:4" ht="13" x14ac:dyDescent="0.15">
      <c r="B2054" s="3"/>
      <c r="C2054" s="3"/>
      <c r="D2054" s="3"/>
    </row>
    <row r="2055" spans="2:4" ht="13" x14ac:dyDescent="0.15">
      <c r="B2055" s="3"/>
      <c r="C2055" s="3"/>
      <c r="D2055" s="3"/>
    </row>
    <row r="2056" spans="2:4" ht="13" x14ac:dyDescent="0.15">
      <c r="B2056" s="3"/>
      <c r="C2056" s="3"/>
      <c r="D2056" s="3"/>
    </row>
    <row r="2057" spans="2:4" ht="13" x14ac:dyDescent="0.15">
      <c r="B2057" s="3"/>
      <c r="C2057" s="3"/>
      <c r="D2057" s="3"/>
    </row>
    <row r="2058" spans="2:4" ht="13" x14ac:dyDescent="0.15">
      <c r="B2058" s="3"/>
      <c r="C2058" s="3"/>
      <c r="D2058" s="3"/>
    </row>
    <row r="2059" spans="2:4" ht="13" x14ac:dyDescent="0.15">
      <c r="B2059" s="3"/>
      <c r="C2059" s="3"/>
      <c r="D2059" s="3"/>
    </row>
    <row r="2060" spans="2:4" ht="13" x14ac:dyDescent="0.15">
      <c r="B2060" s="3"/>
      <c r="C2060" s="3"/>
      <c r="D2060" s="3"/>
    </row>
    <row r="2061" spans="2:4" ht="13" x14ac:dyDescent="0.15">
      <c r="B2061" s="3"/>
      <c r="C2061" s="3"/>
      <c r="D2061" s="3"/>
    </row>
    <row r="2062" spans="2:4" ht="13" x14ac:dyDescent="0.15">
      <c r="B2062" s="3"/>
      <c r="C2062" s="3"/>
      <c r="D2062" s="3"/>
    </row>
    <row r="2063" spans="2:4" ht="13" x14ac:dyDescent="0.15">
      <c r="B2063" s="3"/>
      <c r="C2063" s="3"/>
      <c r="D2063" s="3"/>
    </row>
    <row r="2064" spans="2:4" ht="13" x14ac:dyDescent="0.15">
      <c r="B2064" s="3"/>
      <c r="C2064" s="3"/>
      <c r="D2064" s="3"/>
    </row>
    <row r="2065" spans="2:4" ht="13" x14ac:dyDescent="0.15">
      <c r="B2065" s="3"/>
      <c r="C2065" s="3"/>
      <c r="D2065" s="3"/>
    </row>
    <row r="2066" spans="2:4" ht="13" x14ac:dyDescent="0.15">
      <c r="B2066" s="3"/>
      <c r="C2066" s="3"/>
      <c r="D2066" s="3"/>
    </row>
    <row r="2067" spans="2:4" ht="13" x14ac:dyDescent="0.15">
      <c r="B2067" s="3"/>
      <c r="C2067" s="3"/>
      <c r="D2067" s="3"/>
    </row>
    <row r="2068" spans="2:4" ht="13" x14ac:dyDescent="0.15">
      <c r="B2068" s="3"/>
      <c r="C2068" s="3"/>
      <c r="D2068" s="3"/>
    </row>
    <row r="2069" spans="2:4" ht="13" x14ac:dyDescent="0.15">
      <c r="B2069" s="3"/>
      <c r="C2069" s="3"/>
      <c r="D2069" s="3"/>
    </row>
    <row r="2070" spans="2:4" ht="13" x14ac:dyDescent="0.15">
      <c r="B2070" s="3"/>
      <c r="C2070" s="3"/>
      <c r="D2070" s="3"/>
    </row>
    <row r="2071" spans="2:4" ht="13" x14ac:dyDescent="0.15">
      <c r="B2071" s="3"/>
      <c r="C2071" s="3"/>
      <c r="D2071" s="3"/>
    </row>
    <row r="2072" spans="2:4" ht="13" x14ac:dyDescent="0.15">
      <c r="B2072" s="3"/>
      <c r="C2072" s="3"/>
      <c r="D2072" s="3"/>
    </row>
    <row r="2073" spans="2:4" ht="13" x14ac:dyDescent="0.15">
      <c r="B2073" s="3"/>
      <c r="C2073" s="3"/>
      <c r="D2073" s="3"/>
    </row>
    <row r="2074" spans="2:4" ht="13" x14ac:dyDescent="0.15">
      <c r="B2074" s="3"/>
      <c r="C2074" s="3"/>
      <c r="D2074" s="3"/>
    </row>
    <row r="2075" spans="2:4" ht="13" x14ac:dyDescent="0.15">
      <c r="B2075" s="3"/>
      <c r="C2075" s="3"/>
      <c r="D2075" s="3"/>
    </row>
    <row r="2076" spans="2:4" ht="13" x14ac:dyDescent="0.15">
      <c r="B2076" s="3"/>
      <c r="C2076" s="3"/>
      <c r="D2076" s="3"/>
    </row>
    <row r="2077" spans="2:4" ht="13" x14ac:dyDescent="0.15">
      <c r="B2077" s="3"/>
      <c r="C2077" s="3"/>
      <c r="D2077" s="3"/>
    </row>
    <row r="2078" spans="2:4" ht="13" x14ac:dyDescent="0.15">
      <c r="B2078" s="3"/>
      <c r="C2078" s="3"/>
      <c r="D2078" s="3"/>
    </row>
    <row r="2079" spans="2:4" ht="13" x14ac:dyDescent="0.15">
      <c r="B2079" s="3"/>
      <c r="C2079" s="3"/>
      <c r="D2079" s="3"/>
    </row>
    <row r="2080" spans="2:4" ht="13" x14ac:dyDescent="0.15">
      <c r="B2080" s="3"/>
      <c r="C2080" s="3"/>
      <c r="D2080" s="3"/>
    </row>
    <row r="2081" spans="2:4" ht="13" x14ac:dyDescent="0.15">
      <c r="B2081" s="3"/>
      <c r="C2081" s="3"/>
      <c r="D2081" s="3"/>
    </row>
    <row r="2082" spans="2:4" ht="13" x14ac:dyDescent="0.15">
      <c r="B2082" s="3"/>
      <c r="C2082" s="3"/>
      <c r="D2082" s="3"/>
    </row>
    <row r="2083" spans="2:4" ht="13" x14ac:dyDescent="0.15">
      <c r="B2083" s="3"/>
      <c r="C2083" s="3"/>
      <c r="D2083" s="3"/>
    </row>
    <row r="2084" spans="2:4" ht="13" x14ac:dyDescent="0.15">
      <c r="B2084" s="3"/>
      <c r="C2084" s="3"/>
      <c r="D2084" s="3"/>
    </row>
    <row r="2085" spans="2:4" ht="13" x14ac:dyDescent="0.15">
      <c r="B2085" s="3"/>
      <c r="C2085" s="3"/>
      <c r="D2085" s="3"/>
    </row>
    <row r="2086" spans="2:4" ht="13" x14ac:dyDescent="0.15">
      <c r="B2086" s="3"/>
      <c r="C2086" s="3"/>
      <c r="D2086" s="3"/>
    </row>
    <row r="2087" spans="2:4" ht="13" x14ac:dyDescent="0.15">
      <c r="B2087" s="3"/>
      <c r="C2087" s="3"/>
      <c r="D2087" s="3"/>
    </row>
    <row r="2088" spans="2:4" ht="13" x14ac:dyDescent="0.15">
      <c r="B2088" s="3"/>
      <c r="C2088" s="3"/>
      <c r="D2088" s="3"/>
    </row>
    <row r="2089" spans="2:4" ht="13" x14ac:dyDescent="0.15">
      <c r="B2089" s="3"/>
      <c r="C2089" s="3"/>
      <c r="D2089" s="3"/>
    </row>
    <row r="2090" spans="2:4" ht="13" x14ac:dyDescent="0.15">
      <c r="B2090" s="3"/>
      <c r="C2090" s="3"/>
      <c r="D2090" s="3"/>
    </row>
    <row r="2091" spans="2:4" ht="13" x14ac:dyDescent="0.15">
      <c r="B2091" s="3"/>
      <c r="C2091" s="3"/>
      <c r="D2091" s="3"/>
    </row>
    <row r="2092" spans="2:4" ht="13" x14ac:dyDescent="0.15">
      <c r="B2092" s="3"/>
      <c r="C2092" s="3"/>
      <c r="D2092" s="3"/>
    </row>
    <row r="2093" spans="2:4" ht="13" x14ac:dyDescent="0.15">
      <c r="B2093" s="3"/>
      <c r="C2093" s="3"/>
      <c r="D2093" s="3"/>
    </row>
    <row r="2094" spans="2:4" ht="13" x14ac:dyDescent="0.15">
      <c r="B2094" s="3"/>
      <c r="C2094" s="3"/>
      <c r="D2094" s="3"/>
    </row>
    <row r="2095" spans="2:4" ht="13" x14ac:dyDescent="0.15">
      <c r="B2095" s="3"/>
      <c r="C2095" s="3"/>
      <c r="D2095" s="3"/>
    </row>
    <row r="2096" spans="2:4" ht="13" x14ac:dyDescent="0.15">
      <c r="B2096" s="3"/>
      <c r="C2096" s="3"/>
      <c r="D2096" s="3"/>
    </row>
    <row r="2097" spans="2:4" ht="13" x14ac:dyDescent="0.15">
      <c r="B2097" s="3"/>
      <c r="C2097" s="3"/>
      <c r="D209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</vt:lpstr>
      <vt:lpstr>localesPublicosEdu_2018</vt:lpstr>
      <vt:lpstr>contriSunat_2021</vt:lpstr>
      <vt:lpstr>empleoPea_2017</vt:lpstr>
      <vt:lpstr>pobUrbRural_2017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JOSE MANUEL MAGALLANES REYES</cp:lastModifiedBy>
  <dcterms:modified xsi:type="dcterms:W3CDTF">2024-08-16T04:29:09Z</dcterms:modified>
</cp:coreProperties>
</file>